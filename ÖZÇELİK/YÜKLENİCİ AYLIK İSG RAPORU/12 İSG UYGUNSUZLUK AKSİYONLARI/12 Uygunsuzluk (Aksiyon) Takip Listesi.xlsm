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guzhan\Desktop\ÖZÇELİK\YÜKLENİCİ AYLIK İSG RAPORU\YÜKLENİCİ AYLIK İSG RAPORU\12 İSG UYGUNSUZLUK AKSİYONLARI\"/>
    </mc:Choice>
  </mc:AlternateContent>
  <xr:revisionPtr revIDLastSave="0" documentId="13_ncr:1_{B11BF585-AA31-4E63-89D6-428D14F0E1C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ksiyon Takip Listesi" sheetId="7" r:id="rId1"/>
    <sheet name="Analiz Sayfası" sheetId="10" r:id="rId2"/>
  </sheets>
  <definedNames>
    <definedName name="_xlnm._FilterDatabase" localSheetId="0" hidden="1">'Aksiyon Takip Listesi'!$A$6:$L$6</definedName>
    <definedName name="_xlnm.Print_Area" localSheetId="0">'Aksiyon Takip Listesi'!$A$5:$Z$17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5" i="7" l="1"/>
  <c r="B18" i="10"/>
  <c r="B25" i="10" s="1"/>
  <c r="E6" i="10"/>
  <c r="D6" i="10"/>
  <c r="I23" i="7"/>
  <c r="G23" i="7" s="1"/>
  <c r="I22" i="7"/>
  <c r="G22" i="7" s="1"/>
  <c r="I21" i="7"/>
  <c r="G21" i="7" s="1"/>
  <c r="J21" i="7" s="1"/>
  <c r="I20" i="7"/>
  <c r="G20" i="7" s="1"/>
  <c r="I19" i="7"/>
  <c r="G19" i="7"/>
  <c r="J19" i="7" s="1"/>
  <c r="I18" i="7"/>
  <c r="G18" i="7"/>
  <c r="I17" i="7"/>
  <c r="G17" i="7" s="1"/>
  <c r="J17" i="7" s="1"/>
  <c r="I16" i="7"/>
  <c r="G16" i="7" s="1"/>
  <c r="I15" i="7"/>
  <c r="G15" i="7" s="1"/>
  <c r="I14" i="7"/>
  <c r="G14" i="7" s="1"/>
  <c r="I13" i="7"/>
  <c r="G13" i="7" s="1"/>
  <c r="I12" i="7"/>
  <c r="G12" i="7"/>
  <c r="I11" i="7"/>
  <c r="G11" i="7" s="1"/>
  <c r="I10" i="7"/>
  <c r="G10" i="7" s="1"/>
  <c r="I9" i="7"/>
  <c r="G9" i="7" s="1"/>
  <c r="K9" i="7" s="1"/>
  <c r="I8" i="7"/>
  <c r="G8" i="7" s="1"/>
  <c r="K8" i="7" s="1"/>
  <c r="I7" i="7"/>
  <c r="G7" i="7"/>
  <c r="J7" i="7" s="1"/>
  <c r="F25" i="10" l="1"/>
  <c r="E25" i="10"/>
  <c r="J13" i="7"/>
  <c r="K13" i="7" s="1"/>
  <c r="B6" i="10"/>
  <c r="A6" i="10"/>
  <c r="J9" i="7"/>
  <c r="J11" i="7"/>
  <c r="K11" i="7" s="1"/>
  <c r="J15" i="7"/>
  <c r="K15" i="7" s="1"/>
  <c r="J23" i="7"/>
  <c r="K23" i="7" s="1"/>
  <c r="B21" i="10"/>
  <c r="K7" i="7"/>
  <c r="K17" i="7"/>
  <c r="K19" i="7"/>
  <c r="K21" i="7"/>
  <c r="E18" i="10"/>
  <c r="F18" i="10"/>
  <c r="B20" i="10"/>
  <c r="B24" i="10"/>
  <c r="B28" i="10"/>
  <c r="B19" i="10"/>
  <c r="C18" i="10" s="1"/>
  <c r="B23" i="10"/>
  <c r="B27" i="10"/>
  <c r="B22" i="10"/>
  <c r="B26" i="10"/>
  <c r="J8" i="7"/>
  <c r="J10" i="7"/>
  <c r="K10" i="7" s="1"/>
  <c r="J12" i="7"/>
  <c r="K12" i="7" s="1"/>
  <c r="J14" i="7"/>
  <c r="K14" i="7" s="1"/>
  <c r="J16" i="7"/>
  <c r="K16" i="7" s="1"/>
  <c r="J18" i="7"/>
  <c r="K18" i="7" s="1"/>
  <c r="J20" i="7"/>
  <c r="K20" i="7" s="1"/>
  <c r="J22" i="7"/>
  <c r="K22" i="7" s="1"/>
  <c r="G25" i="10" l="1"/>
  <c r="G18" i="10"/>
  <c r="E23" i="10"/>
  <c r="D23" i="10"/>
  <c r="C23" i="10"/>
  <c r="F23" i="10"/>
  <c r="F24" i="10"/>
  <c r="E24" i="10"/>
  <c r="D24" i="10"/>
  <c r="C24" i="10"/>
  <c r="F28" i="10"/>
  <c r="E28" i="10"/>
  <c r="D28" i="10"/>
  <c r="C28" i="10"/>
  <c r="F21" i="10"/>
  <c r="E21" i="10"/>
  <c r="D21" i="10"/>
  <c r="C21" i="10"/>
  <c r="F20" i="10"/>
  <c r="E20" i="10"/>
  <c r="D20" i="10"/>
  <c r="C20" i="10"/>
  <c r="D26" i="10"/>
  <c r="C26" i="10"/>
  <c r="F26" i="10"/>
  <c r="E26" i="10"/>
  <c r="C22" i="10"/>
  <c r="F22" i="10"/>
  <c r="E22" i="10"/>
  <c r="D22" i="10"/>
  <c r="C25" i="10"/>
  <c r="E19" i="10"/>
  <c r="D19" i="10"/>
  <c r="C19" i="10"/>
  <c r="F19" i="10"/>
  <c r="D18" i="10"/>
  <c r="F27" i="10"/>
  <c r="E27" i="10"/>
  <c r="D27" i="10"/>
  <c r="C27" i="10"/>
  <c r="D25" i="10"/>
  <c r="G24" i="10" l="1"/>
  <c r="G19" i="10"/>
  <c r="G27" i="10"/>
  <c r="G21" i="10"/>
  <c r="G22" i="10"/>
  <c r="G20" i="10"/>
  <c r="G28" i="10"/>
  <c r="G26" i="10"/>
  <c r="G23" i="10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<sst xmlns="http://schemas.openxmlformats.org/spreadsheetml/2006/main" count="62" uniqueCount="55">
  <si>
    <t>Açık Aksiyon</t>
  </si>
  <si>
    <t>Kapalı Aksiyon</t>
  </si>
  <si>
    <t>Aksiyon Durumu</t>
  </si>
  <si>
    <t>#</t>
  </si>
  <si>
    <t>Kapatma Tarihi</t>
  </si>
  <si>
    <t>Yaşlanma Süresi</t>
  </si>
  <si>
    <t>Tespit Tarihi</t>
  </si>
  <si>
    <t>Aksiyon Açıklama</t>
  </si>
  <si>
    <t>Termin</t>
  </si>
  <si>
    <t>Firma Adı</t>
  </si>
  <si>
    <t>Kapatma Açıklama</t>
  </si>
  <si>
    <t>Sapma</t>
  </si>
  <si>
    <t>Aksiyon Görseli</t>
  </si>
  <si>
    <t>Aksiyon Kapatma Görseli</t>
  </si>
  <si>
    <t>Toplam Aksiyon Durum Analizi</t>
  </si>
  <si>
    <t>Grand Total</t>
  </si>
  <si>
    <t>Average of Sapma</t>
  </si>
  <si>
    <t>Average of Yaşlanma Süresi</t>
  </si>
  <si>
    <t>Ay Farkı</t>
  </si>
  <si>
    <t>Tarih</t>
  </si>
  <si>
    <t>İlgili Ay Kapanış</t>
  </si>
  <si>
    <t>Toplam Açık</t>
  </si>
  <si>
    <t>Toplam Kapalı</t>
  </si>
  <si>
    <t>Aksiyon Artışı</t>
  </si>
  <si>
    <t>Revizyon Tarihi:</t>
  </si>
  <si>
    <t>AKSİYON TAKİP LİSTESİ</t>
  </si>
  <si>
    <t>ANALİZ GRAFİKLERİ</t>
  </si>
  <si>
    <t>Revizyon Tarihi: 22.04.2020</t>
  </si>
  <si>
    <t>KALİTE VE İSG-Ç MÜDÜRLÜĞÜ</t>
  </si>
  <si>
    <t>Revizyon No.: 0</t>
  </si>
  <si>
    <t>Yayım Tarihi: 22.04.2020</t>
  </si>
  <si>
    <t>İSG-Ç AKSİYON TAKİP LİSTESİ</t>
  </si>
  <si>
    <t>Doküman No.: EP-FR056</t>
  </si>
  <si>
    <t>Uygunsuzluk Kriteri</t>
  </si>
  <si>
    <t>Uygunsuzluk Kriterleri</t>
  </si>
  <si>
    <t>Tekrarlayan aksiyonlar</t>
  </si>
  <si>
    <t>İSG-Ç Birimi İnsiyatifi</t>
  </si>
  <si>
    <t>Mevzuat uygunsuzluğu</t>
  </si>
  <si>
    <t>Yasal otorite (OSGB, bakanlık vb.) tespiti</t>
  </si>
  <si>
    <t>Yerel halk şikayeti</t>
  </si>
  <si>
    <t>Gözlem</t>
  </si>
  <si>
    <t>Kapatma Durumu</t>
  </si>
  <si>
    <t>Aksiyon ile Kapalı</t>
  </si>
  <si>
    <t>İş Bitimi ile Kapalı</t>
  </si>
  <si>
    <t>Row Labels</t>
  </si>
  <si>
    <t>FMC</t>
  </si>
  <si>
    <t>İş Bitimi</t>
  </si>
  <si>
    <t>Toplam Aksiyon</t>
  </si>
  <si>
    <t>Aksiyon</t>
  </si>
  <si>
    <t xml:space="preserve">Doküman No.: </t>
  </si>
  <si>
    <t xml:space="preserve">Yayım Tarihi: </t>
  </si>
  <si>
    <t xml:space="preserve">Revizyon Tarihi: </t>
  </si>
  <si>
    <t xml:space="preserve">Revizyon No.: </t>
  </si>
  <si>
    <t xml:space="preserve"> İSG MÜDÜRLÜĞÜ</t>
  </si>
  <si>
    <t>İSG AKSİYON TAKİP LİSTESİ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</si>
</sst>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  <family val="2"/>
      <charset val="162"/>
    </font>
    <font>
      <b/>
      <sz val="10"/>
      <name val="Arial"/>
      <family val="2"/>
      <charset val="162"/>
    </font>
    <font>
      <b/>
      <sz val="8"/>
      <name val="Arial"/>
      <family val="2"/>
      <charset val="162"/>
    </font>
    <font>
      <sz val="8"/>
      <name val="Arial"/>
      <family val="2"/>
      <charset val="162"/>
    </font>
    <font>
      <sz val="10"/>
      <name val="Arial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3743705557422"/>
        <bgColor indexed="64"/>
      </patternFill>
    </fill>
  </fills>
  <borders count="4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75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0" borderId="3" xfId="0" applyBorder="1" applyAlignment="1">
      <alignment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left" vertical="center" wrapText="1"/>
    </xf>
    <xf numFmtId="0" fontId="0" fillId="3" borderId="13" xfId="0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 wrapText="1"/>
    </xf>
    <xf numFmtId="14" fontId="0" fillId="0" borderId="12" xfId="0" applyNumberFormat="1" applyBorder="1" applyAlignment="1">
      <alignment horizontal="center" vertical="center" wrapText="1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14" fontId="0" fillId="2" borderId="23" xfId="0" applyNumberFormat="1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14" fontId="0" fillId="2" borderId="27" xfId="0" applyNumberFormat="1" applyFill="1" applyBorder="1" applyAlignment="1">
      <alignment horizontal="center" vertical="center"/>
    </xf>
    <xf numFmtId="14" fontId="1" fillId="0" borderId="28" xfId="0" applyNumberFormat="1" applyFont="1" applyBorder="1" applyAlignment="1">
      <alignment vertical="center" wrapText="1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" fillId="0" borderId="33" xfId="0" applyFont="1" applyBorder="1" applyAlignment="1">
      <alignment horizontal="center" vertical="center" wrapText="1"/>
    </xf>
    <xf numFmtId="0" fontId="4" fillId="0" borderId="1" xfId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1" fillId="3" borderId="42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74999999999998"/>
          <c:y val="0.13875000000000001"/>
          <c:w val="0.48199999999999998"/>
          <c:h val="0.669749999999999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 cap="flat" cmpd="sng">
              <a:solidFill>
                <a:srgbClr val="000000"/>
              </a:solidFill>
              <a:prstDash val="solid"/>
            </a:ln>
            <a:effectLst/>
          </c:spPr>
          <c:explosion val="6"/>
          <c:dPt>
            <c:idx val="0"/>
            <c:bubble3D val="0"/>
            <c:spPr>
              <a:solidFill>
                <a:srgbClr val="9999FF"/>
              </a:solidFill>
              <a:ln w="12700" cap="flat" cmpd="sng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A2F-42AD-86AF-FD76A7E421C4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 cap="flat" cmpd="sng">
                <a:solidFill>
                  <a:srgbClr val="00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A2F-42AD-86AF-FD76A7E421C4}"/>
              </c:ext>
            </c:extLst>
          </c:dPt>
          <c:dLbls>
            <c:dLbl>
              <c:idx val="0"/>
              <c:layout>
                <c:manualLayout>
                  <c:x val="4.7499999999999999E-3"/>
                  <c:y val="-1.15E-2"/>
                </c:manualLayout>
              </c:layout>
              <c:numFmt formatCode="0%" sourceLinked="0"/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1100" b="0" i="0" u="none" baseline="0">
                      <a:solidFill>
                        <a:srgbClr val="000000"/>
                      </a:solidFill>
                      <a:latin typeface="Arial Tur"/>
                      <a:ea typeface="Arial Tur"/>
                      <a:cs typeface="Arial Tur"/>
                    </a:defRPr>
                  </a:pPr>
                  <a:endParaRPr lang="tr-T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2F-42AD-86AF-FD76A7E421C4}"/>
                </c:ext>
              </c:extLst>
            </c:dLbl>
            <c:dLbl>
              <c:idx val="1"/>
              <c:layout>
                <c:manualLayout>
                  <c:x val="2.1250000000000002E-2"/>
                  <c:y val="-4.4999999999999997E-3"/>
                </c:manualLayout>
              </c:layout>
              <c:numFmt formatCode="0%" sourceLinked="0"/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1100" b="0" i="0" u="none" baseline="0">
                      <a:solidFill>
                        <a:srgbClr val="000000"/>
                      </a:solidFill>
                      <a:latin typeface="Arial Tur"/>
                      <a:ea typeface="Arial Tur"/>
                      <a:cs typeface="Arial Tur"/>
                    </a:defRPr>
                  </a:pPr>
                  <a:endParaRPr lang="tr-T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2F-42AD-86AF-FD76A7E421C4}"/>
                </c:ext>
              </c:extLst>
            </c:dLbl>
            <c:numFmt formatCode="0%" sourceLinked="0"/>
            <c:spPr>
              <a:noFill/>
              <a:ln w="25400">
                <a:noFill/>
              </a:ln>
              <a:effectLst/>
            </c:spPr>
            <c:txPr>
              <a:bodyPr rot="0" vert="horz" wrap="square" lIns="38100" tIns="19050" rIns="38100" bIns="19050">
                <a:spAutoFit/>
              </a:bodyPr>
              <a:lstStyle/>
              <a:p>
                <a:pPr algn="ctr">
                  <a:defRPr lang="en-US" sz="1100" b="0" i="0" u="none" baseline="0">
                    <a:solidFill>
                      <a:srgbClr val="000000"/>
                    </a:solidFill>
                    <a:latin typeface="Arial Tur"/>
                    <a:ea typeface="Arial Tur"/>
                    <a:cs typeface="Arial Tur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'Analiz Sayfası'!$A$5:$B$5</c:f>
              <c:strCache>
                <c:ptCount val="2"/>
                <c:pt idx="0">
                  <c:v>Açık Aksiyon</c:v>
                </c:pt>
                <c:pt idx="1">
                  <c:v>Kapalı Aksiyon</c:v>
                </c:pt>
              </c:strCache>
            </c:strRef>
          </c:cat>
          <c:val>
            <c:numRef>
              <c:f>'Analiz Sayfası'!$A$6:$B$6</c:f>
              <c:numCache>
                <c:formatCode>General</c:formatCode>
                <c:ptCount val="2"/>
                <c:pt idx="0">
                  <c:v>9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9B-4872-A6D8-860715C0D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21475"/>
          <c:y val="0.81825000000000003"/>
          <c:w val="0.61175000000000002"/>
          <c:h val="0.1105"/>
        </c:manualLayout>
      </c:layout>
      <c:overlay val="0"/>
      <c:spPr>
        <a:solidFill>
          <a:srgbClr val="FFFFFF"/>
        </a:solidFill>
        <a:ln w="3175" cap="flat" cmpd="sng">
          <a:solidFill>
            <a:srgbClr val="000000"/>
          </a:solidFill>
          <a:prstDash val="solid"/>
        </a:ln>
        <a:effectLst/>
      </c:spPr>
      <c:txPr>
        <a:bodyPr rot="0" vert="horz" wrap="square"/>
        <a:lstStyle/>
        <a:p>
          <a:pPr algn="ctr">
            <a:defRPr lang="en-US" sz="915" b="0" i="0" u="none" baseline="0">
              <a:solidFill>
                <a:srgbClr val="000000"/>
              </a:solidFill>
              <a:latin typeface="Arial Tur"/>
              <a:ea typeface="Arial Tur"/>
              <a:cs typeface="Arial Tur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rgbClr val="FFFFFF"/>
    </a:solidFill>
    <a:ln w="3175" cap="flat" cmpd="sng">
      <a:solidFill>
        <a:srgbClr val="000000"/>
      </a:solidFill>
      <a:prstDash val="solid"/>
    </a:ln>
    <a:effectLst/>
  </c:spPr>
  <c:txPr>
    <a:bodyPr rot="0" vert="horz" wrap="square"/>
    <a:lstStyle/>
    <a:p>
      <a:pPr>
        <a:defRPr lang="en-US" sz="425" b="0" i="0" u="none" baseline="0">
          <a:solidFill>
            <a:srgbClr val="000000"/>
          </a:solidFill>
          <a:latin typeface="Arial Tur"/>
          <a:ea typeface="Arial Tur"/>
          <a:cs typeface="Arial Tur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wrap="square"/>
          <a:lstStyle/>
          <a:p>
            <a:pPr>
              <a:defRPr lang="en-US" sz="1400" b="1" i="0" u="none" baseline="0">
                <a:solidFill>
                  <a:srgbClr val="000000"/>
                </a:solidFill>
                <a:latin typeface="Calibri"/>
                <a:ea typeface="Calibri"/>
              </a:defRPr>
            </a:pPr>
            <a:r>
              <a:rPr lang="en-US"/>
              <a:t>Aylık Aksiyon Performansı</a:t>
            </a:r>
          </a:p>
        </c:rich>
      </c:tx>
      <c:layout>
        <c:manualLayout>
          <c:xMode val="edge"/>
          <c:yMode val="edge"/>
          <c:x val="0.36499999999999999"/>
          <c:y val="1.8249999999999999E-2"/>
        </c:manualLayout>
      </c:layout>
      <c:overlay val="0"/>
      <c:spPr>
        <a:noFill/>
        <a:ln w="9525"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9499999999999998E-2"/>
          <c:y val="0.10125000000000001"/>
          <c:w val="0.91949999999999998"/>
          <c:h val="0.746249999999999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'Analiz Sayfası'!$C$17</c:f>
              <c:strCache>
                <c:ptCount val="1"/>
                <c:pt idx="0">
                  <c:v>Aksiyon Artışı</c:v>
                </c:pt>
              </c:strCache>
            </c:strRef>
          </c:tx>
          <c:spPr>
            <a:solidFill>
              <a:srgbClr val="FF0000"/>
            </a:solidFill>
            <a:effectLst/>
          </c:spPr>
          <c:invertIfNegative val="0"/>
          <c:cat>
            <c:numRef>
              <c:f>'Analiz Sayfası'!$B$18:$B$28</c:f>
              <c:numCache>
                <c:formatCode>m/d/yyyy</c:formatCode>
                <c:ptCount val="11"/>
                <c:pt idx="0">
                  <c:v>46112</c:v>
                </c:pt>
                <c:pt idx="1">
                  <c:v>46081</c:v>
                </c:pt>
                <c:pt idx="2">
                  <c:v>46053</c:v>
                </c:pt>
                <c:pt idx="3">
                  <c:v>46022</c:v>
                </c:pt>
                <c:pt idx="4">
                  <c:v>45991</c:v>
                </c:pt>
                <c:pt idx="5">
                  <c:v>45961</c:v>
                </c:pt>
                <c:pt idx="6">
                  <c:v>45930</c:v>
                </c:pt>
                <c:pt idx="7">
                  <c:v>45900</c:v>
                </c:pt>
                <c:pt idx="8">
                  <c:v>45869</c:v>
                </c:pt>
                <c:pt idx="9">
                  <c:v>45838</c:v>
                </c:pt>
                <c:pt idx="10">
                  <c:v>45808</c:v>
                </c:pt>
              </c:numCache>
            </c:numRef>
          </c:cat>
          <c:val>
            <c:numRef>
              <c:f>'Analiz Sayfası'!$C$18:$C$28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9-4BFC-B19D-819C14A33778}"/>
            </c:ext>
          </c:extLst>
        </c:ser>
        <c:ser>
          <c:idx val="1"/>
          <c:order val="1"/>
          <c:tx>
            <c:strRef>
              <c:f>'Analiz Sayfası'!$D$17</c:f>
              <c:strCache>
                <c:ptCount val="1"/>
                <c:pt idx="0">
                  <c:v>İlgili Ay Kapanış</c:v>
                </c:pt>
              </c:strCache>
            </c:strRef>
          </c:tx>
          <c:spPr>
            <a:solidFill>
              <a:srgbClr val="92D050"/>
            </a:solidFill>
            <a:effectLst/>
          </c:spPr>
          <c:invertIfNegative val="0"/>
          <c:cat>
            <c:numRef>
              <c:f>'Analiz Sayfası'!$B$18:$B$28</c:f>
              <c:numCache>
                <c:formatCode>m/d/yyyy</c:formatCode>
                <c:ptCount val="11"/>
                <c:pt idx="0">
                  <c:v>46112</c:v>
                </c:pt>
                <c:pt idx="1">
                  <c:v>46081</c:v>
                </c:pt>
                <c:pt idx="2">
                  <c:v>46053</c:v>
                </c:pt>
                <c:pt idx="3">
                  <c:v>46022</c:v>
                </c:pt>
                <c:pt idx="4">
                  <c:v>45991</c:v>
                </c:pt>
                <c:pt idx="5">
                  <c:v>45961</c:v>
                </c:pt>
                <c:pt idx="6">
                  <c:v>45930</c:v>
                </c:pt>
                <c:pt idx="7">
                  <c:v>45900</c:v>
                </c:pt>
                <c:pt idx="8">
                  <c:v>45869</c:v>
                </c:pt>
                <c:pt idx="9">
                  <c:v>45838</c:v>
                </c:pt>
                <c:pt idx="10">
                  <c:v>45808</c:v>
                </c:pt>
              </c:numCache>
            </c:numRef>
          </c:cat>
          <c:val>
            <c:numRef>
              <c:f>'Analiz Sayfası'!$D$18:$D$28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89-4BFC-B19D-819C14A33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5388247"/>
        <c:axId val="38987687"/>
      </c:barChart>
      <c:lineChart>
        <c:grouping val="standard"/>
        <c:varyColors val="0"/>
        <c:ser>
          <c:idx val="3"/>
          <c:order val="2"/>
          <c:tx>
            <c:strRef>
              <c:f>'Analiz Sayfası'!$E$17</c:f>
              <c:strCache>
                <c:ptCount val="1"/>
                <c:pt idx="0">
                  <c:v>Toplam Aksiyon</c:v>
                </c:pt>
              </c:strCache>
            </c:strRef>
          </c:tx>
          <c:spPr>
            <a:ln w="28575" cmpd="sng">
              <a:solidFill>
                <a:srgbClr val="00B050"/>
              </a:solidFill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  <a:effectLst/>
            </c:spPr>
            <c:txPr>
              <a:bodyPr rot="0" vert="horz" wrap="square" lIns="38100" tIns="19050" rIns="38100" bIns="19050">
                <a:spAutoFit/>
              </a:bodyPr>
              <a:lstStyle/>
              <a:p>
                <a:pPr algn="ctr">
                  <a:defRPr lang="en-US" sz="800" b="0" i="0" u="non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'Analiz Sayfası'!$B$18:$B$28</c:f>
              <c:numCache>
                <c:formatCode>m/d/yyyy</c:formatCode>
                <c:ptCount val="11"/>
                <c:pt idx="0">
                  <c:v>46112</c:v>
                </c:pt>
                <c:pt idx="1">
                  <c:v>46081</c:v>
                </c:pt>
                <c:pt idx="2">
                  <c:v>46053</c:v>
                </c:pt>
                <c:pt idx="3">
                  <c:v>46022</c:v>
                </c:pt>
                <c:pt idx="4">
                  <c:v>45991</c:v>
                </c:pt>
                <c:pt idx="5">
                  <c:v>45961</c:v>
                </c:pt>
                <c:pt idx="6">
                  <c:v>45930</c:v>
                </c:pt>
                <c:pt idx="7">
                  <c:v>45900</c:v>
                </c:pt>
                <c:pt idx="8">
                  <c:v>45869</c:v>
                </c:pt>
                <c:pt idx="9">
                  <c:v>45838</c:v>
                </c:pt>
                <c:pt idx="10">
                  <c:v>45808</c:v>
                </c:pt>
              </c:numCache>
            </c:numRef>
          </c:cat>
          <c:val>
            <c:numRef>
              <c:f>'Analiz Sayfası'!$E$18:$E$28</c:f>
              <c:numCache>
                <c:formatCode>General</c:formatCode>
                <c:ptCount val="1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89-4BFC-B19D-819C14A33778}"/>
            </c:ext>
          </c:extLst>
        </c:ser>
        <c:ser>
          <c:idx val="2"/>
          <c:order val="3"/>
          <c:tx>
            <c:strRef>
              <c:f>'Analiz Sayfası'!$F$17</c:f>
              <c:strCache>
                <c:ptCount val="1"/>
                <c:pt idx="0">
                  <c:v>Toplam Kapalı</c:v>
                </c:pt>
              </c:strCache>
            </c:strRef>
          </c:tx>
          <c:spPr>
            <a:ln w="28575" cmpd="sng">
              <a:solidFill>
                <a:srgbClr val="C00000"/>
              </a:solidFill>
            </a:ln>
            <a:effectLst/>
          </c:spPr>
          <c:marker>
            <c:symbol val="none"/>
          </c:marker>
          <c:dLbls>
            <c:dLbl>
              <c:idx val="12"/>
              <c:layout>
                <c:manualLayout>
                  <c:x val="-9.4999999999999998E-3"/>
                  <c:y val="-1.975E-2"/>
                </c:manualLayout>
              </c:layout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800" b="0" i="0" u="non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tr-T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DD-400A-AF78-E37578327313}"/>
                </c:ext>
              </c:extLst>
            </c:dLbl>
            <c:spPr>
              <a:noFill/>
              <a:ln w="25400">
                <a:noFill/>
              </a:ln>
              <a:effectLst/>
            </c:spPr>
            <c:txPr>
              <a:bodyPr rot="0" vert="horz" wrap="square" lIns="38100" tIns="19050" rIns="38100" bIns="19050">
                <a:spAutoFit/>
              </a:bodyPr>
              <a:lstStyle/>
              <a:p>
                <a:pPr algn="ctr">
                  <a:defRPr lang="en-US" sz="800" b="0" i="0" u="non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'Analiz Sayfası'!$B$18:$B$28</c:f>
              <c:numCache>
                <c:formatCode>m/d/yyyy</c:formatCode>
                <c:ptCount val="11"/>
                <c:pt idx="0">
                  <c:v>46112</c:v>
                </c:pt>
                <c:pt idx="1">
                  <c:v>46081</c:v>
                </c:pt>
                <c:pt idx="2">
                  <c:v>46053</c:v>
                </c:pt>
                <c:pt idx="3">
                  <c:v>46022</c:v>
                </c:pt>
                <c:pt idx="4">
                  <c:v>45991</c:v>
                </c:pt>
                <c:pt idx="5">
                  <c:v>45961</c:v>
                </c:pt>
                <c:pt idx="6">
                  <c:v>45930</c:v>
                </c:pt>
                <c:pt idx="7">
                  <c:v>45900</c:v>
                </c:pt>
                <c:pt idx="8">
                  <c:v>45869</c:v>
                </c:pt>
                <c:pt idx="9">
                  <c:v>45838</c:v>
                </c:pt>
                <c:pt idx="10">
                  <c:v>45808</c:v>
                </c:pt>
              </c:numCache>
            </c:numRef>
          </c:cat>
          <c:val>
            <c:numRef>
              <c:f>'Analiz Sayfası'!$F$18:$F$28</c:f>
              <c:numCache>
                <c:formatCode>General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89-4BFC-B19D-819C14A33778}"/>
            </c:ext>
          </c:extLst>
        </c:ser>
        <c:ser>
          <c:idx val="4"/>
          <c:order val="4"/>
          <c:tx>
            <c:strRef>
              <c:f>'Analiz Sayfası'!$G$17</c:f>
              <c:strCache>
                <c:ptCount val="1"/>
                <c:pt idx="0">
                  <c:v>Toplam Açık</c:v>
                </c:pt>
              </c:strCache>
            </c:strRef>
          </c:tx>
          <c:marker>
            <c:symbol val="none"/>
          </c:marker>
          <c:cat>
            <c:numRef>
              <c:f>'Analiz Sayfası'!$B$18:$B$28</c:f>
              <c:numCache>
                <c:formatCode>m/d/yyyy</c:formatCode>
                <c:ptCount val="11"/>
                <c:pt idx="0">
                  <c:v>46112</c:v>
                </c:pt>
                <c:pt idx="1">
                  <c:v>46081</c:v>
                </c:pt>
                <c:pt idx="2">
                  <c:v>46053</c:v>
                </c:pt>
                <c:pt idx="3">
                  <c:v>46022</c:v>
                </c:pt>
                <c:pt idx="4">
                  <c:v>45991</c:v>
                </c:pt>
                <c:pt idx="5">
                  <c:v>45961</c:v>
                </c:pt>
                <c:pt idx="6">
                  <c:v>45930</c:v>
                </c:pt>
                <c:pt idx="7">
                  <c:v>45900</c:v>
                </c:pt>
                <c:pt idx="8">
                  <c:v>45869</c:v>
                </c:pt>
                <c:pt idx="9">
                  <c:v>45838</c:v>
                </c:pt>
                <c:pt idx="10">
                  <c:v>45808</c:v>
                </c:pt>
              </c:numCache>
            </c:numRef>
          </c:cat>
          <c:val>
            <c:numRef>
              <c:f>'Analiz Sayfası'!$G$18:$G$28</c:f>
              <c:numCache>
                <c:formatCode>General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89-4BFC-B19D-819C14A33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7138"/>
        <c:axId val="44060071"/>
      </c:lineChart>
      <c:dateAx>
        <c:axId val="25388247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ln w="9525" cap="flat" cmpd="sng"/>
          <a:effectLst/>
        </c:spPr>
        <c:txPr>
          <a:bodyPr rot="0" vert="horz" wrap="square"/>
          <a:lstStyle/>
          <a:p>
            <a:pPr>
              <a:defRPr lang="en-US" sz="1000" b="0" i="0" u="non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38987687"/>
        <c:crosses val="autoZero"/>
        <c:auto val="1"/>
        <c:lblOffset val="100"/>
        <c:baseTimeUnit val="months"/>
      </c:dateAx>
      <c:valAx>
        <c:axId val="38987687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  <a:effectLst/>
        </c:spPr>
        <c:txPr>
          <a:bodyPr rot="0" vert="horz" wrap="square"/>
          <a:lstStyle/>
          <a:p>
            <a:pPr>
              <a:defRPr lang="en-US" sz="1000" b="0" i="0" u="non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25388247"/>
        <c:crosses val="autoZero"/>
        <c:crossBetween val="between"/>
        <c:majorUnit val="1"/>
      </c:valAx>
      <c:dateAx>
        <c:axId val="4998713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4060071"/>
        <c:crosses val="autoZero"/>
        <c:auto val="1"/>
        <c:lblOffset val="100"/>
        <c:baseTimeUnit val="months"/>
      </c:dateAx>
      <c:valAx>
        <c:axId val="4406007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9525" cap="flat" cmpd="sng"/>
          <a:effectLst/>
        </c:spPr>
        <c:txPr>
          <a:bodyPr rot="0" vert="horz" wrap="square"/>
          <a:lstStyle/>
          <a:p>
            <a:pPr>
              <a:defRPr lang="en-US" sz="1000" b="0" i="0" u="non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tr-TR"/>
          </a:p>
        </c:txPr>
        <c:crossAx val="49987138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9.8500000000000004E-2"/>
          <c:y val="0.91100000000000003"/>
          <c:w val="0.80549999999999999"/>
          <c:h val="5.9499999999999997E-2"/>
        </c:manualLayout>
      </c:layout>
      <c:overlay val="0"/>
      <c:txPr>
        <a:bodyPr rot="0" vert="horz" wrap="square"/>
        <a:lstStyle/>
        <a:p>
          <a:pPr algn="ctr">
            <a:defRPr lang="en-US" sz="840" b="0" i="0" u="non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tr-TR"/>
        </a:p>
      </c:txPr>
    </c:legend>
    <c:plotVisOnly val="1"/>
    <c:dispBlanksAs val="gap"/>
    <c:showDLblsOverMax val="0"/>
  </c:chart>
  <c:spPr>
    <a:ln w="12700" cap="flat" cmpd="sng">
      <a:solidFill>
        <a:srgbClr val="000000"/>
      </a:solidFill>
    </a:ln>
    <a:effectLst/>
  </c:spPr>
  <c:txPr>
    <a:bodyPr rot="0" vert="horz" wrap="square"/>
    <a:lstStyle/>
    <a:p>
      <a:pPr>
        <a:defRPr lang="en-US" sz="1000" b="0" i="0" u="none" baseline="0">
          <a:solidFill>
            <a:srgbClr val="000000"/>
          </a:solidFill>
          <a:latin typeface="Calibri"/>
          <a:ea typeface="Calibri"/>
          <a:cs typeface="Calibri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74999999999998"/>
          <c:y val="0.13875000000000001"/>
          <c:w val="0.48199999999999998"/>
          <c:h val="0.6697499999999999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 cap="flat" cmpd="sng">
              <a:solidFill>
                <a:srgbClr val="000000"/>
              </a:solidFill>
              <a:prstDash val="solid"/>
            </a:ln>
            <a:effectLst/>
          </c:spPr>
          <c:explosion val="6"/>
          <c:dPt>
            <c:idx val="0"/>
            <c:bubble3D val="0"/>
            <c:spPr>
              <a:solidFill>
                <a:srgbClr val="9999FF"/>
              </a:solidFill>
              <a:ln w="12700" cap="flat" cmpd="sng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56D-4F5E-ADC0-EC5F7394CFFE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 cap="flat" cmpd="sng">
                <a:solidFill>
                  <a:srgbClr val="00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D-4F5E-ADC0-EC5F7394CFFE}"/>
              </c:ext>
            </c:extLst>
          </c:dPt>
          <c:dLbls>
            <c:dLbl>
              <c:idx val="0"/>
              <c:layout>
                <c:manualLayout>
                  <c:x val="4.7499999999999999E-3"/>
                  <c:y val="-1.15E-2"/>
                </c:manualLayout>
              </c:layout>
              <c:numFmt formatCode="0%" sourceLinked="0"/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1100" b="0" i="0" u="none" baseline="0">
                      <a:solidFill>
                        <a:srgbClr val="000000"/>
                      </a:solidFill>
                      <a:latin typeface="Arial Tur"/>
                      <a:ea typeface="Arial Tur"/>
                      <a:cs typeface="Arial Tur"/>
                    </a:defRPr>
                  </a:pPr>
                  <a:endParaRPr lang="tr-T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6D-4F5E-ADC0-EC5F7394CFFE}"/>
                </c:ext>
              </c:extLst>
            </c:dLbl>
            <c:dLbl>
              <c:idx val="1"/>
              <c:layout>
                <c:manualLayout>
                  <c:x val="2.1250000000000002E-2"/>
                  <c:y val="-4.4999999999999997E-3"/>
                </c:manualLayout>
              </c:layout>
              <c:numFmt formatCode="0%" sourceLinked="0"/>
              <c:spPr>
                <a:noFill/>
                <a:ln w="25400">
                  <a:noFill/>
                </a:ln>
                <a:effectLst/>
              </c:spPr>
              <c:txPr>
                <a:bodyPr rot="0" vert="horz" wrap="square"/>
                <a:lstStyle/>
                <a:p>
                  <a:pPr algn="ctr">
                    <a:defRPr lang="en-US" sz="1100" b="0" i="0" u="none" baseline="0">
                      <a:solidFill>
                        <a:srgbClr val="000000"/>
                      </a:solidFill>
                      <a:latin typeface="Arial Tur"/>
                      <a:ea typeface="Arial Tur"/>
                      <a:cs typeface="Arial Tur"/>
                    </a:defRPr>
                  </a:pPr>
                  <a:endParaRPr lang="tr-T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6D-4F5E-ADC0-EC5F7394CFFE}"/>
                </c:ext>
              </c:extLst>
            </c:dLbl>
            <c:numFmt formatCode="0%" sourceLinked="0"/>
            <c:spPr>
              <a:noFill/>
              <a:ln w="25400">
                <a:noFill/>
              </a:ln>
              <a:effectLst/>
            </c:spPr>
            <c:txPr>
              <a:bodyPr rot="0" vert="horz" wrap="square" lIns="38100" tIns="19050" rIns="38100" bIns="19050">
                <a:spAutoFit/>
              </a:bodyPr>
              <a:lstStyle/>
              <a:p>
                <a:pPr algn="ctr">
                  <a:defRPr lang="en-US" sz="1100" b="0" i="0" u="none" baseline="0">
                    <a:solidFill>
                      <a:srgbClr val="000000"/>
                    </a:solidFill>
                    <a:latin typeface="Arial Tur"/>
                    <a:ea typeface="Arial Tur"/>
                    <a:cs typeface="Arial Tur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'Analiz Sayfası'!$D$5:$E$5</c:f>
              <c:strCache>
                <c:ptCount val="2"/>
                <c:pt idx="0">
                  <c:v>Aksiyon ile Kapalı</c:v>
                </c:pt>
                <c:pt idx="1">
                  <c:v>İş Bitimi ile Kapalı</c:v>
                </c:pt>
              </c:strCache>
            </c:strRef>
          </c:cat>
          <c:val>
            <c:numRef>
              <c:f>'Analiz Sayfası'!$D$6:$E$6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71-4962-A046-A7ABE3C05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14674999999999999"/>
          <c:y val="0.8095"/>
          <c:w val="0.74"/>
          <c:h val="0.1105"/>
        </c:manualLayout>
      </c:layout>
      <c:overlay val="0"/>
      <c:spPr>
        <a:solidFill>
          <a:srgbClr val="FFFFFF"/>
        </a:solidFill>
        <a:ln w="3175" cap="flat" cmpd="sng">
          <a:solidFill>
            <a:srgbClr val="000000"/>
          </a:solidFill>
          <a:prstDash val="solid"/>
        </a:ln>
        <a:effectLst/>
      </c:spPr>
      <c:txPr>
        <a:bodyPr rot="0" vert="horz" wrap="square"/>
        <a:lstStyle/>
        <a:p>
          <a:pPr algn="ctr">
            <a:defRPr lang="en-US" sz="915" b="0" i="0" u="none" baseline="0">
              <a:solidFill>
                <a:srgbClr val="000000"/>
              </a:solidFill>
              <a:latin typeface="Arial Tur"/>
              <a:ea typeface="Arial Tur"/>
              <a:cs typeface="Arial Tur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rgbClr val="FFFFFF"/>
    </a:solidFill>
    <a:ln w="3175" cap="flat" cmpd="sng">
      <a:solidFill>
        <a:srgbClr val="000000"/>
      </a:solidFill>
      <a:prstDash val="solid"/>
    </a:ln>
    <a:effectLst/>
  </c:spPr>
  <c:txPr>
    <a:bodyPr rot="0" vert="horz" wrap="square"/>
    <a:lstStyle/>
    <a:p>
      <a:pPr>
        <a:defRPr lang="en-US" sz="425" b="0" i="0" u="none" baseline="0">
          <a:solidFill>
            <a:srgbClr val="000000"/>
          </a:solidFill>
          <a:latin typeface="Arial Tur"/>
          <a:ea typeface="Arial Tur"/>
          <a:cs typeface="Arial Tur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[12 Uygunsuzluk (Aksiyon) Takip Listesi.xlsm]Analiz Sayfası!PivotTable2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/>
            </a:pPr>
            <a:r>
              <a:rPr lang="tr-TR" sz="1200" b="1" i="0" u="none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Firma Bazlı Ort. Aksiyon Yaşlanma Süresi</a:t>
            </a:r>
          </a:p>
        </c:rich>
      </c:tx>
      <c:layout>
        <c:manualLayout>
          <c:xMode val="edge"/>
          <c:yMode val="edge"/>
          <c:x val="0.192"/>
          <c:y val="3.4250000000000003E-2"/>
        </c:manualLayout>
      </c:layout>
      <c:overlay val="0"/>
      <c:spPr>
        <a:noFill/>
        <a:ln w="9525"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025"/>
          <c:y val="0.13150000000000001"/>
          <c:w val="0.83150000000000002"/>
          <c:h val="0.680250000000000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'Analiz Sayfası'!$B$8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 w="9525">
              <a:noFill/>
            </a:ln>
            <a:effectLst/>
          </c:spPr>
          <c:invertIfNegative val="0"/>
          <c:cat>
            <c:strRef>
              <c:f>'Analiz Sayfası'!$A$9:$A$10</c:f>
              <c:strCache>
                <c:ptCount val="1"/>
                <c:pt idx="0">
                  <c:v>FMC</c:v>
                </c:pt>
              </c:strCache>
            </c:strRef>
          </c:cat>
          <c:val>
            <c:numRef>
              <c:f>'Analiz Sayfası'!$B$9:$B$10</c:f>
              <c:numCache>
                <c:formatCode>General</c:formatCode>
                <c:ptCount val="1"/>
                <c:pt idx="0">
                  <c:v>39.75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9-47C5-9A28-AE1FA800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5366269"/>
        <c:axId val="51789868"/>
      </c:barChart>
      <c:catAx>
        <c:axId val="1536626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1789868"/>
        <c:crosses val="autoZero"/>
        <c:auto val="1"/>
        <c:lblAlgn val="ctr"/>
        <c:lblOffset val="100"/>
        <c:noMultiLvlLbl val="0"/>
      </c:catAx>
      <c:valAx>
        <c:axId val="51789868"/>
        <c:scaling>
          <c:orientation val="minMax"/>
        </c:scaling>
        <c:delete val="0"/>
        <c:axPos val="l"/>
        <c:majorGridlines>
          <c:spPr>
            <a:ln w="9525" cap="flat" cmpd="sng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366269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layout>
        <c:manualLayout>
          <c:xMode val="edge"/>
          <c:yMode val="edge"/>
          <c:x val="0.47925000000000001"/>
          <c:y val="0.88400000000000001"/>
          <c:w val="0.11675000000000001"/>
          <c:h val="6.7250000000000004E-2"/>
        </c:manualLayout>
      </c:layout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>
      <a:solidFill>
        <a:schemeClr val="tx1">
          <a:lumMod val="15000"/>
          <a:lumOff val="85000"/>
        </a:schemeClr>
      </a:solidFill>
      <a:round/>
    </a:ln>
    <a:effectLst/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[12 Uygunsuzluk (Aksiyon) Takip Listesi.xlsm]Analiz Sayfası!PivotTable3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tr-TR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Firma Bazlı Ort. Aksiyon Termin Sapma Süresi</a:t>
            </a:r>
          </a:p>
        </c:rich>
      </c:tx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tr-TR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952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2749999999999999E-2"/>
          <c:y val="0.18925"/>
          <c:w val="0.86850000000000005"/>
          <c:h val="0.612750000000000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'Analiz Sayfası'!$B$12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 w="9525">
              <a:noFill/>
            </a:ln>
            <a:effectLst/>
          </c:spPr>
          <c:invertIfNegative val="0"/>
          <c:cat>
            <c:strRef>
              <c:f>'Analiz Sayfası'!$A$13:$A$14</c:f>
              <c:strCache>
                <c:ptCount val="1"/>
                <c:pt idx="0">
                  <c:v>FMC</c:v>
                </c:pt>
              </c:strCache>
            </c:strRef>
          </c:cat>
          <c:val>
            <c:numRef>
              <c:f>'Analiz Sayfası'!$B$13:$B$14</c:f>
              <c:numCache>
                <c:formatCode>General</c:formatCode>
                <c:ptCount val="1"/>
                <c:pt idx="0">
                  <c:v>28.5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A8-4071-B1AD-DBDFCE0E0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40201460"/>
        <c:axId val="40085408"/>
      </c:barChart>
      <c:catAx>
        <c:axId val="402014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0085408"/>
        <c:crosses val="autoZero"/>
        <c:auto val="1"/>
        <c:lblAlgn val="ctr"/>
        <c:lblOffset val="100"/>
        <c:noMultiLvlLbl val="0"/>
      </c:catAx>
      <c:valAx>
        <c:axId val="4008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40201460"/>
        <c:crosses val="autoZero"/>
        <c:crossBetween val="between"/>
      </c:valAx>
      <c:spPr>
        <a:noFill/>
        <a:ln w="9525">
          <a:noFill/>
        </a:ln>
        <a:effectLst/>
      </c:spPr>
    </c:plotArea>
    <c:legend>
      <c:legendPos val="b"/>
      <c:layout>
        <c:manualLayout>
          <c:xMode val="edge"/>
          <c:yMode val="edge"/>
          <c:x val="0.48575000000000002"/>
          <c:y val="0.87124999999999997"/>
          <c:w val="0.11924999999999999"/>
          <c:h val="6.8000000000000005E-2"/>
        </c:manualLayout>
      </c:layout>
      <c:overlay val="0"/>
      <c:spPr>
        <a:noFill/>
        <a:ln w="9525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6</xdr:row>
      <xdr:rowOff>123825</xdr:rowOff>
    </xdr:from>
    <xdr:to>
      <xdr:col>19</xdr:col>
      <xdr:colOff>390525</xdr:colOff>
      <xdr:row>8</xdr:row>
      <xdr:rowOff>866775</xdr:rowOff>
    </xdr:to>
    <xdr:graphicFrame macro="">
      <xdr:nvGraphicFramePr>
        <xdr:cNvPr id="27268" name="Chart 15">
          <a:extLst>
            <a:ext uri="{FF2B5EF4-FFF2-40B4-BE49-F238E27FC236}">
              <a16:creationId xmlns:a16="http://schemas.microsoft.com/office/drawing/2014/main" id="{5D45A256-B186-4F46-AF81-458A2DC3F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66675</xdr:colOff>
      <xdr:row>9</xdr:row>
      <xdr:rowOff>104775</xdr:rowOff>
    </xdr:from>
    <xdr:to>
      <xdr:col>25</xdr:col>
      <xdr:colOff>514350</xdr:colOff>
      <xdr:row>12</xdr:row>
      <xdr:rowOff>809625</xdr:rowOff>
    </xdr:to>
    <xdr:graphicFrame macro="">
      <xdr:nvGraphicFramePr>
        <xdr:cNvPr id="27271" name="Chart 7">
          <a:extLst>
            <a:ext uri="{FF2B5EF4-FFF2-40B4-BE49-F238E27FC236}">
              <a16:creationId xmlns:a16="http://schemas.microsoft.com/office/drawing/2014/main" id="{B25C82EE-871D-409A-9EDB-ED3FBF131A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186764</xdr:colOff>
      <xdr:row>6</xdr:row>
      <xdr:rowOff>149412</xdr:rowOff>
    </xdr:from>
    <xdr:to>
      <xdr:col>25</xdr:col>
      <xdr:colOff>377264</xdr:colOff>
      <xdr:row>8</xdr:row>
      <xdr:rowOff>892362</xdr:rowOff>
    </xdr:to>
    <xdr:graphicFrame macro="">
      <xdr:nvGraphicFramePr>
        <xdr:cNvPr id="8" name="Chart 15">
          <a:extLst>
            <a:ext uri="{FF2B5EF4-FFF2-40B4-BE49-F238E27FC236}">
              <a16:creationId xmlns:a16="http://schemas.microsoft.com/office/drawing/2014/main" id="{8768C952-D21A-42F1-BD41-10256D1A40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105110</xdr:colOff>
      <xdr:row>12</xdr:row>
      <xdr:rowOff>914495</xdr:rowOff>
    </xdr:from>
    <xdr:to>
      <xdr:col>19</xdr:col>
      <xdr:colOff>598083</xdr:colOff>
      <xdr:row>16</xdr:row>
      <xdr:rowOff>651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03CFFD9-ACDB-428B-8132-37DEC798E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83552</xdr:colOff>
      <xdr:row>12</xdr:row>
      <xdr:rowOff>935789</xdr:rowOff>
    </xdr:from>
    <xdr:to>
      <xdr:col>25</xdr:col>
      <xdr:colOff>501315</xdr:colOff>
      <xdr:row>15</xdr:row>
      <xdr:rowOff>1052763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7E7D552-BC70-435D-954A-0651129482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104775</xdr:rowOff>
    </xdr:from>
    <xdr:to>
      <xdr:col>1</xdr:col>
      <xdr:colOff>0</xdr:colOff>
      <xdr:row>3</xdr:row>
      <xdr:rowOff>66675</xdr:rowOff>
    </xdr:to>
    <xdr:pic>
      <xdr:nvPicPr>
        <xdr:cNvPr id="20509" name="Picture 1">
          <a:extLst>
            <a:ext uri="{FF2B5EF4-FFF2-40B4-BE49-F238E27FC236}">
              <a16:creationId xmlns:a16="http://schemas.microsoft.com/office/drawing/2014/main" id="{29699BB5-CC0E-47D0-8D58-07014F2F0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38100" y="104775"/>
          <a:ext cx="87630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rk Türkel" refreshedDate="44067.867500694403" createdVersion="6" refreshedVersion="6" minRefreshableVersion="3" recordCount="17" xr:uid="{00000000-000A-0000-FFFF-FFFF00000000}">
  <cacheSource type="worksheet">
    <worksheetSource ref="A6:L23" sheet="Aksiyon Takip Listesi"/>
  </cacheSource>
  <cacheFields count="12">
    <cacheField name="#" numFmtId="0">
      <sharedItems containsNonDate="0" containsString="0" containsBlank="1"/>
    </cacheField>
    <cacheField name="Firma Adı" numFmtId="0">
      <sharedItems containsBlank="1" count="2">
        <s v="FMC"/>
        <m/>
      </sharedItems>
    </cacheField>
    <cacheField name="Uygunsuzluk Kriteri" numFmtId="0">
      <sharedItems containsBlank="1"/>
    </cacheField>
    <cacheField name="Tespit Tarihi" numFmtId="14">
      <sharedItems containsNonDate="0" containsDate="1" containsString="0" containsBlank="1" minDate="2020-07-09T00:00:00" maxDate="2020-08-11T00:00:00"/>
    </cacheField>
    <cacheField name="Aksiyon Açıklama" numFmtId="0">
      <sharedItems containsNonDate="0" containsString="0" containsBlank="1"/>
    </cacheField>
    <cacheField name="Termin" numFmtId="14">
      <sharedItems containsNonDate="0" containsDate="1" containsString="0" containsBlank="1" minDate="2020-08-12T00:00:00" maxDate="2020-11-22T00:00:00"/>
    </cacheField>
    <cacheField name="Aksiyon Durumu" numFmtId="0">
      <sharedItems/>
    </cacheField>
    <cacheField name="Kapatma Tarihi" numFmtId="14">
      <sharedItems containsNonDate="0" containsDate="1" containsString="0" containsBlank="1" minDate="2020-08-23T00:00:00" maxDate="2020-09-14T00:00:00"/>
    </cacheField>
    <cacheField name="Kapatma Durumu" numFmtId="14">
      <sharedItems/>
    </cacheField>
    <cacheField name="Yaşlanma Süresi" numFmtId="0">
      <sharedItems containsSemiMixedTypes="0" containsString="0" containsNumber="1" containsInteger="1" minValue="13" maxValue="44067"/>
    </cacheField>
    <cacheField name="Sapma" numFmtId="0">
      <sharedItems containsSemiMixedTypes="0" containsString="0" containsNumber="1" containsInteger="1" minValue="11" maxValue="44067"/>
    </cacheField>
    <cacheField name="Kapatma Açıklam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m/>
    <x v="0"/>
    <s v="Gözlem"/>
    <d v="2020-07-12T00:00:00"/>
    <m/>
    <d v="2020-08-24T00:00:00"/>
    <s v="Açık"/>
    <m/>
    <s v=""/>
    <n v="43"/>
    <n v="43"/>
    <m/>
  </r>
  <r>
    <m/>
    <x v="0"/>
    <s v="Gözlem"/>
    <d v="2020-08-10T00:00:00"/>
    <m/>
    <d v="2020-08-12T00:00:00"/>
    <s v="Kapalı"/>
    <d v="2020-08-23T00:00:00"/>
    <s v="İş Bitimi"/>
    <n v="13"/>
    <n v="11"/>
    <s v="İş Bitimi"/>
  </r>
  <r>
    <m/>
    <x v="0"/>
    <s v="Tekrarlayan aksiyonlar"/>
    <d v="2020-07-09T00:00:00"/>
    <m/>
    <d v="2020-08-21T00:00:00"/>
    <s v="Kapalı"/>
    <d v="2020-09-13T00:00:00"/>
    <s v="Aksiyon"/>
    <n v="66"/>
    <n v="23"/>
    <s v="Aksiyon"/>
  </r>
  <r>
    <m/>
    <x v="0"/>
    <s v="Yerel halk şikayeti"/>
    <d v="2020-07-18T00:00:00"/>
    <m/>
    <d v="2020-11-21T00:00:00"/>
    <s v="Açık"/>
    <m/>
    <s v=""/>
    <n v="37"/>
    <n v="3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  <r>
    <m/>
    <x v="1"/>
    <m/>
    <m/>
    <m/>
    <m/>
    <s v="Açık"/>
    <m/>
    <s v=""/>
    <n v="44067"/>
    <n v="4406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3" cacheId="0" applyNumberFormats="0" applyBorderFormats="0" applyFontFormats="0" applyPatternFormats="0" applyAlignmentFormats="0" applyWidthHeightFormats="1" dataCaption="Values" updatedVersion="6" useAutoFormatting="1" itemPrintTitles="1" createdVersion="6" indent="0" outline="1" outlineData="1" multipleFieldFilters="0" chartFormat="1">
  <location ref="A12:B14" firstHeaderRow="1" firstDataRow="1" firstDataCol="1"/>
  <pivotFields count="12">
    <pivotField showAll="0"/>
    <pivotField axis="axisRow"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2">
    <i>
      <x v="1"/>
    </i>
    <i t="grand">
      <x/>
    </i>
  </rowItems>
  <colItems count="1">
    <i/>
  </colItems>
  <dataFields count="1">
    <dataField name="Average of Sapma" fld="10" subtotal="average" baseField="1" baseItem="0"/>
  </dataFields>
  <chartFormats count="1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useAutoFormatting="1" itemPrintTitles="1" createdVersion="6" indent="0" outline="1" outlineData="1" multipleFieldFilters="0" chartFormat="1">
  <location ref="A8:B10" firstHeaderRow="1" firstDataRow="1" firstDataCol="1"/>
  <pivotFields count="12">
    <pivotField showAll="0"/>
    <pivotField axis="axisRow"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">
    <i>
      <x v="1"/>
    </i>
    <i t="grand">
      <x/>
    </i>
  </rowItems>
  <colItems count="1">
    <i/>
  </colItems>
  <dataFields count="1">
    <dataField name="Average of Yaşlanma Süresi" fld="9" subtotal="average" baseField="1" baseItem="0"/>
  </dataFields>
  <chartFormats count="1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1"/>
  <sheetViews>
    <sheetView tabSelected="1" topLeftCell="E1" zoomScale="85" zoomScaleNormal="85" zoomScaleSheetLayoutView="68" zoomScalePageLayoutView="55" workbookViewId="0">
      <selection activeCell="L9" sqref="L9"/>
    </sheetView>
  </sheetViews>
  <sheetFormatPr defaultColWidth="9.140625" defaultRowHeight="12.75" x14ac:dyDescent="0.2"/>
  <cols>
    <col min="1" max="1" width="4.42578125" style="1" customWidth="1"/>
    <col min="2" max="2" width="20.5703125" style="2" customWidth="1"/>
    <col min="3" max="3" width="18.5703125" style="2" customWidth="1"/>
    <col min="4" max="4" width="12.5703125" style="2" customWidth="1"/>
    <col min="5" max="5" width="30.42578125" style="3" customWidth="1"/>
    <col min="6" max="8" width="12.5703125" style="2" customWidth="1"/>
    <col min="9" max="9" width="12.5703125" style="1" customWidth="1"/>
    <col min="10" max="11" width="14.5703125" style="1" customWidth="1"/>
    <col min="12" max="12" width="51.42578125" style="1" customWidth="1"/>
    <col min="13" max="14" width="20.5703125" style="1" customWidth="1"/>
    <col min="15" max="16384" width="9.140625" style="1"/>
  </cols>
  <sheetData>
    <row r="1" spans="1:26" ht="17.100000000000001" customHeight="1" x14ac:dyDescent="0.2">
      <c r="A1" s="51" t="e" vm="1">
        <v>#VALUE!</v>
      </c>
      <c r="B1" s="52"/>
      <c r="C1" s="53"/>
      <c r="D1" s="51" t="s">
        <v>53</v>
      </c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3"/>
      <c r="U1" s="64" t="s">
        <v>49</v>
      </c>
      <c r="V1" s="64"/>
      <c r="W1" s="64"/>
      <c r="X1" s="64"/>
      <c r="Y1" s="64"/>
      <c r="Z1" s="64"/>
    </row>
    <row r="2" spans="1:26" ht="17.100000000000001" customHeight="1" x14ac:dyDescent="0.2">
      <c r="A2" s="54"/>
      <c r="B2" s="55"/>
      <c r="C2" s="56"/>
      <c r="D2" s="57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9"/>
      <c r="U2" s="64" t="s">
        <v>50</v>
      </c>
      <c r="V2" s="64"/>
      <c r="W2" s="64"/>
      <c r="X2" s="64"/>
      <c r="Y2" s="64"/>
      <c r="Z2" s="64"/>
    </row>
    <row r="3" spans="1:26" ht="17.100000000000001" customHeight="1" x14ac:dyDescent="0.2">
      <c r="A3" s="54"/>
      <c r="B3" s="55"/>
      <c r="C3" s="56"/>
      <c r="D3" s="51" t="s">
        <v>54</v>
      </c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3"/>
      <c r="U3" s="64" t="s">
        <v>51</v>
      </c>
      <c r="V3" s="64"/>
      <c r="W3" s="64"/>
      <c r="X3" s="64"/>
      <c r="Y3" s="64"/>
      <c r="Z3" s="64"/>
    </row>
    <row r="4" spans="1:26" ht="17.100000000000001" customHeight="1" thickBot="1" x14ac:dyDescent="0.25">
      <c r="A4" s="57"/>
      <c r="B4" s="58"/>
      <c r="C4" s="59"/>
      <c r="D4" s="57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9"/>
      <c r="U4" s="64" t="s">
        <v>52</v>
      </c>
      <c r="V4" s="64"/>
      <c r="W4" s="64"/>
      <c r="X4" s="64"/>
      <c r="Y4" s="64"/>
      <c r="Z4" s="64"/>
    </row>
    <row r="5" spans="1:26" ht="24.6" customHeight="1" thickBot="1" x14ac:dyDescent="0.25">
      <c r="A5" s="65" t="s">
        <v>24</v>
      </c>
      <c r="B5" s="66"/>
      <c r="C5" s="1"/>
      <c r="D5" s="43">
        <f ca="1">TODAY()</f>
        <v>46084</v>
      </c>
      <c r="E5" s="67" t="s">
        <v>25</v>
      </c>
      <c r="F5" s="68"/>
      <c r="G5" s="68"/>
      <c r="H5" s="68"/>
      <c r="I5" s="68"/>
      <c r="J5" s="68"/>
      <c r="K5" s="68"/>
      <c r="L5" s="68"/>
      <c r="M5" s="68"/>
      <c r="N5" s="68"/>
      <c r="O5" s="69" t="s">
        <v>26</v>
      </c>
      <c r="P5" s="68"/>
      <c r="Q5" s="68"/>
      <c r="R5" s="68"/>
      <c r="S5" s="68"/>
      <c r="T5" s="68"/>
      <c r="U5" s="70"/>
      <c r="V5" s="70"/>
      <c r="W5" s="70"/>
      <c r="X5" s="70"/>
      <c r="Y5" s="70"/>
      <c r="Z5" s="71"/>
    </row>
    <row r="6" spans="1:26" s="4" customFormat="1" ht="30" customHeight="1" thickBot="1" x14ac:dyDescent="0.25">
      <c r="A6" s="21" t="s">
        <v>3</v>
      </c>
      <c r="B6" s="22" t="s">
        <v>9</v>
      </c>
      <c r="C6" s="22" t="s">
        <v>33</v>
      </c>
      <c r="D6" s="22" t="s">
        <v>6</v>
      </c>
      <c r="E6" s="22" t="s">
        <v>7</v>
      </c>
      <c r="F6" s="22" t="s">
        <v>8</v>
      </c>
      <c r="G6" s="22" t="s">
        <v>2</v>
      </c>
      <c r="H6" s="22" t="s">
        <v>4</v>
      </c>
      <c r="I6" s="22" t="s">
        <v>41</v>
      </c>
      <c r="J6" s="23" t="s">
        <v>5</v>
      </c>
      <c r="K6" s="23" t="s">
        <v>11</v>
      </c>
      <c r="L6" s="23" t="s">
        <v>10</v>
      </c>
      <c r="M6" s="22" t="s">
        <v>12</v>
      </c>
      <c r="N6" s="24" t="s">
        <v>13</v>
      </c>
      <c r="O6" s="60" t="s">
        <v>14</v>
      </c>
      <c r="P6" s="61"/>
      <c r="Q6" s="61"/>
      <c r="R6" s="61"/>
      <c r="S6" s="61"/>
      <c r="T6" s="61"/>
      <c r="U6" s="61"/>
      <c r="V6" s="61"/>
      <c r="W6" s="61"/>
      <c r="X6" s="61"/>
      <c r="Y6" s="61"/>
      <c r="Z6" s="62"/>
    </row>
    <row r="7" spans="1:26" ht="87" customHeight="1" x14ac:dyDescent="0.2">
      <c r="A7" s="25"/>
      <c r="B7" s="19"/>
      <c r="C7" s="19" t="s">
        <v>40</v>
      </c>
      <c r="D7" s="30">
        <v>44024</v>
      </c>
      <c r="E7" s="20"/>
      <c r="F7" s="30">
        <v>44067</v>
      </c>
      <c r="G7" s="19" t="str">
        <f>IF(OR(I7="Aksiyon",I7="İş Bitimi"),"Kapalı","Açık")</f>
        <v>Açık</v>
      </c>
      <c r="H7" s="30"/>
      <c r="I7" s="30" t="str">
        <f>IF(L7="","",IF(ISERROR((FIND("İş Bitimi",L7))),"Aksiyon","İş Bitimi"))</f>
        <v/>
      </c>
      <c r="J7" s="19">
        <f ca="1">IF(G7="Kapalı",H7-D7,IF(G7="Açık",TODAY()-D7,""))</f>
        <v>2060</v>
      </c>
      <c r="K7" s="19">
        <f ca="1">IF((G7="Açık"),J7,H7-F7)</f>
        <v>2060</v>
      </c>
      <c r="L7" s="19"/>
      <c r="M7" s="19"/>
      <c r="N7" s="26"/>
      <c r="O7" s="11"/>
      <c r="P7" s="11"/>
      <c r="Q7" s="11"/>
      <c r="R7" s="11"/>
      <c r="S7" s="11"/>
      <c r="T7" s="12"/>
      <c r="U7" s="10"/>
      <c r="V7" s="11"/>
      <c r="W7" s="11"/>
      <c r="X7" s="11"/>
      <c r="Y7" s="11"/>
      <c r="Z7" s="12"/>
    </row>
    <row r="8" spans="1:26" ht="85.5" customHeight="1" x14ac:dyDescent="0.2">
      <c r="A8" s="27"/>
      <c r="B8" s="7"/>
      <c r="C8" s="19" t="s">
        <v>40</v>
      </c>
      <c r="D8" s="30">
        <v>44053</v>
      </c>
      <c r="E8" s="9"/>
      <c r="F8" s="30">
        <v>44055</v>
      </c>
      <c r="G8" s="19" t="str">
        <f t="shared" ref="G8:G23" si="0">IF(OR(I8="Aksiyon",I8="İş Bitimi"),"Kapalı","Açık")</f>
        <v>Kapalı</v>
      </c>
      <c r="H8" s="29">
        <v>44066</v>
      </c>
      <c r="I8" s="30" t="str">
        <f t="shared" ref="I8:I23" si="1">IF(L8="","",IF(ISERROR((FIND("İş Bitimi",L8))),"Aksiyon","İş Bitimi"))</f>
        <v>İş Bitimi</v>
      </c>
      <c r="J8" s="19">
        <f t="shared" ref="J8:J23" ca="1" si="2">IF(G8="Kapalı",H8-D8,IF(G8="Açık",TODAY()-D8,""))</f>
        <v>13</v>
      </c>
      <c r="K8" s="19">
        <f t="shared" ref="K8:K23" si="3">IF((G8="Açık"),J8,H8-F8)</f>
        <v>11</v>
      </c>
      <c r="L8" s="7" t="s">
        <v>46</v>
      </c>
      <c r="M8" s="7"/>
      <c r="N8" s="28"/>
      <c r="O8" s="14"/>
      <c r="P8" s="14"/>
      <c r="Q8" s="14"/>
      <c r="R8" s="14"/>
      <c r="S8" s="14"/>
      <c r="T8" s="15"/>
      <c r="U8" s="13"/>
      <c r="V8" s="14"/>
      <c r="W8" s="14"/>
      <c r="X8" s="14"/>
      <c r="Y8" s="14"/>
      <c r="Z8" s="15"/>
    </row>
    <row r="9" spans="1:26" ht="84" customHeight="1" thickBot="1" x14ac:dyDescent="0.25">
      <c r="A9" s="27"/>
      <c r="B9" s="7"/>
      <c r="C9" s="19" t="s">
        <v>35</v>
      </c>
      <c r="D9" s="30">
        <v>44021</v>
      </c>
      <c r="E9" s="8"/>
      <c r="F9" s="30">
        <v>44064</v>
      </c>
      <c r="G9" s="19" t="str">
        <f>IF(OR(I9="Aksiyon",I9="İş Bitimi"),"Kapalı","Açık")</f>
        <v>Kapalı</v>
      </c>
      <c r="H9" s="29">
        <v>44087</v>
      </c>
      <c r="I9" s="30" t="str">
        <f t="shared" si="1"/>
        <v>Aksiyon</v>
      </c>
      <c r="J9" s="19">
        <f ca="1">IF(G9="Kapalı",H9-D9,IF(G9="Açık",TODAY()-D9,""))</f>
        <v>66</v>
      </c>
      <c r="K9" s="19">
        <f t="shared" si="3"/>
        <v>23</v>
      </c>
      <c r="L9" s="7" t="s">
        <v>48</v>
      </c>
      <c r="M9" s="7"/>
      <c r="N9" s="28"/>
      <c r="O9" s="17"/>
      <c r="P9" s="17"/>
      <c r="Q9" s="17"/>
      <c r="R9" s="17"/>
      <c r="S9" s="17"/>
      <c r="T9" s="18"/>
      <c r="U9" s="16"/>
      <c r="V9" s="17"/>
      <c r="W9" s="17"/>
      <c r="X9" s="17"/>
      <c r="Y9" s="17"/>
      <c r="Z9" s="18"/>
    </row>
    <row r="10" spans="1:26" ht="84" customHeight="1" x14ac:dyDescent="0.2">
      <c r="A10" s="27"/>
      <c r="B10" s="7"/>
      <c r="C10" s="19" t="s">
        <v>39</v>
      </c>
      <c r="D10" s="30">
        <v>44030</v>
      </c>
      <c r="E10" s="8"/>
      <c r="F10" s="30">
        <v>44156</v>
      </c>
      <c r="G10" s="19" t="str">
        <f t="shared" si="0"/>
        <v>Açık</v>
      </c>
      <c r="H10" s="29"/>
      <c r="I10" s="30" t="str">
        <f t="shared" si="1"/>
        <v/>
      </c>
      <c r="J10" s="19">
        <f t="shared" ca="1" si="2"/>
        <v>2054</v>
      </c>
      <c r="K10" s="19">
        <f t="shared" ca="1" si="3"/>
        <v>2054</v>
      </c>
      <c r="L10" s="7"/>
      <c r="M10" s="7"/>
      <c r="N10" s="28"/>
      <c r="O10" s="63"/>
      <c r="P10" s="63"/>
      <c r="Q10" s="63"/>
      <c r="R10" s="63"/>
      <c r="S10" s="63"/>
      <c r="T10" s="63"/>
    </row>
    <row r="11" spans="1:26" ht="84" customHeight="1" x14ac:dyDescent="0.2">
      <c r="A11" s="27"/>
      <c r="B11" s="7"/>
      <c r="C11" s="19"/>
      <c r="D11" s="30"/>
      <c r="E11" s="9"/>
      <c r="F11" s="30"/>
      <c r="G11" s="19" t="str">
        <f t="shared" si="0"/>
        <v>Açık</v>
      </c>
      <c r="H11" s="29"/>
      <c r="I11" s="30" t="str">
        <f t="shared" si="1"/>
        <v/>
      </c>
      <c r="J11" s="19">
        <f t="shared" ca="1" si="2"/>
        <v>46084</v>
      </c>
      <c r="K11" s="19">
        <f t="shared" ca="1" si="3"/>
        <v>46084</v>
      </c>
      <c r="L11" s="7"/>
      <c r="M11" s="7"/>
      <c r="N11" s="28"/>
      <c r="O11" s="55"/>
      <c r="P11" s="55"/>
      <c r="Q11" s="55"/>
      <c r="R11" s="55"/>
      <c r="S11" s="55"/>
      <c r="T11" s="55"/>
    </row>
    <row r="12" spans="1:26" ht="80.099999999999994" customHeight="1" x14ac:dyDescent="0.2">
      <c r="A12" s="27"/>
      <c r="B12" s="7"/>
      <c r="C12" s="19"/>
      <c r="D12" s="30"/>
      <c r="E12" s="8"/>
      <c r="F12" s="30"/>
      <c r="G12" s="19" t="str">
        <f t="shared" si="0"/>
        <v>Açık</v>
      </c>
      <c r="H12" s="29"/>
      <c r="I12" s="30" t="str">
        <f t="shared" si="1"/>
        <v/>
      </c>
      <c r="J12" s="19">
        <f t="shared" ca="1" si="2"/>
        <v>46084</v>
      </c>
      <c r="K12" s="19">
        <f t="shared" ca="1" si="3"/>
        <v>46084</v>
      </c>
      <c r="L12" s="7"/>
      <c r="M12" s="7"/>
      <c r="N12" s="28"/>
      <c r="O12" s="55"/>
      <c r="P12" s="55"/>
      <c r="Q12" s="55"/>
      <c r="R12" s="55"/>
      <c r="S12" s="55"/>
      <c r="T12" s="55"/>
    </row>
    <row r="13" spans="1:26" ht="84" customHeight="1" x14ac:dyDescent="0.2">
      <c r="A13" s="27"/>
      <c r="B13" s="7"/>
      <c r="C13" s="19"/>
      <c r="D13" s="30"/>
      <c r="E13" s="8"/>
      <c r="F13" s="30"/>
      <c r="G13" s="19" t="str">
        <f t="shared" si="0"/>
        <v>Açık</v>
      </c>
      <c r="H13" s="29"/>
      <c r="I13" s="30" t="str">
        <f t="shared" si="1"/>
        <v/>
      </c>
      <c r="J13" s="19">
        <f ca="1">IF(G13="Kapalı",H13-D13,IF(G13="Açık",TODAY()-D13,""))</f>
        <v>46084</v>
      </c>
      <c r="K13" s="19">
        <f t="shared" ca="1" si="3"/>
        <v>46084</v>
      </c>
      <c r="L13" s="7"/>
      <c r="M13" s="7"/>
      <c r="N13" s="28"/>
    </row>
    <row r="14" spans="1:26" ht="84" customHeight="1" x14ac:dyDescent="0.2">
      <c r="A14" s="27"/>
      <c r="B14" s="7"/>
      <c r="C14" s="19"/>
      <c r="D14" s="30"/>
      <c r="E14" s="8"/>
      <c r="F14" s="30"/>
      <c r="G14" s="19" t="str">
        <f t="shared" si="0"/>
        <v>Açık</v>
      </c>
      <c r="H14" s="29"/>
      <c r="I14" s="30" t="str">
        <f t="shared" si="1"/>
        <v/>
      </c>
      <c r="J14" s="19">
        <f t="shared" ca="1" si="2"/>
        <v>46084</v>
      </c>
      <c r="K14" s="19">
        <f t="shared" ca="1" si="3"/>
        <v>46084</v>
      </c>
      <c r="L14" s="7"/>
      <c r="M14" s="7"/>
      <c r="N14" s="28"/>
    </row>
    <row r="15" spans="1:26" ht="83.25" customHeight="1" x14ac:dyDescent="0.2">
      <c r="A15" s="27"/>
      <c r="B15" s="7"/>
      <c r="C15" s="19"/>
      <c r="D15" s="30"/>
      <c r="E15" s="8"/>
      <c r="F15" s="30"/>
      <c r="G15" s="19" t="str">
        <f t="shared" si="0"/>
        <v>Açık</v>
      </c>
      <c r="H15" s="29"/>
      <c r="I15" s="30" t="str">
        <f t="shared" si="1"/>
        <v/>
      </c>
      <c r="J15" s="19">
        <f t="shared" ca="1" si="2"/>
        <v>46084</v>
      </c>
      <c r="K15" s="19">
        <f t="shared" ca="1" si="3"/>
        <v>46084</v>
      </c>
      <c r="L15" s="7"/>
      <c r="M15" s="7"/>
      <c r="N15" s="28"/>
    </row>
    <row r="16" spans="1:26" ht="84" customHeight="1" x14ac:dyDescent="0.2">
      <c r="A16" s="27"/>
      <c r="B16" s="7"/>
      <c r="C16" s="19"/>
      <c r="D16" s="30"/>
      <c r="E16" s="8"/>
      <c r="F16" s="30"/>
      <c r="G16" s="19" t="str">
        <f t="shared" si="0"/>
        <v>Açık</v>
      </c>
      <c r="H16" s="29"/>
      <c r="I16" s="30" t="str">
        <f t="shared" si="1"/>
        <v/>
      </c>
      <c r="J16" s="19">
        <f t="shared" ca="1" si="2"/>
        <v>46084</v>
      </c>
      <c r="K16" s="19">
        <f t="shared" ca="1" si="3"/>
        <v>46084</v>
      </c>
      <c r="L16" s="7"/>
      <c r="M16" s="7"/>
      <c r="N16" s="28"/>
    </row>
    <row r="17" spans="1:14" ht="84" customHeight="1" x14ac:dyDescent="0.2">
      <c r="A17" s="27"/>
      <c r="B17" s="7"/>
      <c r="C17" s="19"/>
      <c r="D17" s="30"/>
      <c r="E17" s="8"/>
      <c r="F17" s="30"/>
      <c r="G17" s="19" t="str">
        <f t="shared" si="0"/>
        <v>Açık</v>
      </c>
      <c r="H17" s="29"/>
      <c r="I17" s="30" t="str">
        <f t="shared" si="1"/>
        <v/>
      </c>
      <c r="J17" s="19">
        <f t="shared" ca="1" si="2"/>
        <v>46084</v>
      </c>
      <c r="K17" s="19">
        <f t="shared" ca="1" si="3"/>
        <v>46084</v>
      </c>
      <c r="L17" s="7"/>
      <c r="M17" s="7"/>
      <c r="N17" s="28"/>
    </row>
    <row r="18" spans="1:14" ht="84" customHeight="1" x14ac:dyDescent="0.2">
      <c r="A18" s="27"/>
      <c r="B18" s="7"/>
      <c r="C18" s="19"/>
      <c r="D18" s="30"/>
      <c r="E18" s="8"/>
      <c r="F18" s="30"/>
      <c r="G18" s="19" t="str">
        <f t="shared" si="0"/>
        <v>Açık</v>
      </c>
      <c r="H18" s="29"/>
      <c r="I18" s="30" t="str">
        <f t="shared" si="1"/>
        <v/>
      </c>
      <c r="J18" s="19">
        <f t="shared" ca="1" si="2"/>
        <v>46084</v>
      </c>
      <c r="K18" s="19">
        <f t="shared" ca="1" si="3"/>
        <v>46084</v>
      </c>
      <c r="L18" s="7"/>
      <c r="M18" s="7"/>
      <c r="N18" s="28"/>
    </row>
    <row r="19" spans="1:14" ht="84" customHeight="1" x14ac:dyDescent="0.2">
      <c r="A19" s="27"/>
      <c r="B19" s="7"/>
      <c r="C19" s="19"/>
      <c r="D19" s="30"/>
      <c r="E19" s="8"/>
      <c r="F19" s="30"/>
      <c r="G19" s="19" t="str">
        <f t="shared" si="0"/>
        <v>Açık</v>
      </c>
      <c r="H19" s="29"/>
      <c r="I19" s="30" t="str">
        <f t="shared" si="1"/>
        <v/>
      </c>
      <c r="J19" s="19">
        <f t="shared" ca="1" si="2"/>
        <v>46084</v>
      </c>
      <c r="K19" s="19">
        <f t="shared" ca="1" si="3"/>
        <v>46084</v>
      </c>
      <c r="L19" s="7"/>
      <c r="M19" s="7"/>
      <c r="N19" s="28"/>
    </row>
    <row r="20" spans="1:14" ht="84" customHeight="1" x14ac:dyDescent="0.2">
      <c r="A20" s="27"/>
      <c r="B20" s="7"/>
      <c r="C20" s="19"/>
      <c r="D20" s="30"/>
      <c r="E20" s="8"/>
      <c r="F20" s="30"/>
      <c r="G20" s="19" t="str">
        <f t="shared" si="0"/>
        <v>Açık</v>
      </c>
      <c r="H20" s="29"/>
      <c r="I20" s="30" t="str">
        <f t="shared" si="1"/>
        <v/>
      </c>
      <c r="J20" s="19">
        <f t="shared" ca="1" si="2"/>
        <v>46084</v>
      </c>
      <c r="K20" s="19">
        <f t="shared" ca="1" si="3"/>
        <v>46084</v>
      </c>
      <c r="L20" s="7"/>
      <c r="M20" s="7"/>
      <c r="N20" s="28"/>
    </row>
    <row r="21" spans="1:14" ht="84" customHeight="1" x14ac:dyDescent="0.2">
      <c r="A21" s="27"/>
      <c r="B21" s="7"/>
      <c r="C21" s="19"/>
      <c r="D21" s="30"/>
      <c r="E21" s="8"/>
      <c r="F21" s="30"/>
      <c r="G21" s="19" t="str">
        <f t="shared" si="0"/>
        <v>Açık</v>
      </c>
      <c r="H21" s="29"/>
      <c r="I21" s="30" t="str">
        <f t="shared" si="1"/>
        <v/>
      </c>
      <c r="J21" s="19">
        <f t="shared" ca="1" si="2"/>
        <v>46084</v>
      </c>
      <c r="K21" s="19">
        <f t="shared" ca="1" si="3"/>
        <v>46084</v>
      </c>
      <c r="L21" s="7"/>
      <c r="M21" s="7"/>
      <c r="N21" s="28"/>
    </row>
    <row r="22" spans="1:14" ht="84" customHeight="1" x14ac:dyDescent="0.2">
      <c r="A22" s="27"/>
      <c r="B22" s="7"/>
      <c r="C22" s="19"/>
      <c r="D22" s="30"/>
      <c r="E22" s="8"/>
      <c r="F22" s="30"/>
      <c r="G22" s="19" t="str">
        <f t="shared" si="0"/>
        <v>Açık</v>
      </c>
      <c r="H22" s="29"/>
      <c r="I22" s="30" t="str">
        <f t="shared" si="1"/>
        <v/>
      </c>
      <c r="J22" s="19">
        <f t="shared" ca="1" si="2"/>
        <v>46084</v>
      </c>
      <c r="K22" s="19">
        <f t="shared" ca="1" si="3"/>
        <v>46084</v>
      </c>
      <c r="L22" s="7"/>
      <c r="M22" s="7"/>
      <c r="N22" s="28"/>
    </row>
    <row r="23" spans="1:14" ht="84" customHeight="1" x14ac:dyDescent="0.2">
      <c r="A23" s="27"/>
      <c r="B23" s="7"/>
      <c r="C23" s="19"/>
      <c r="D23" s="30"/>
      <c r="E23" s="8"/>
      <c r="F23" s="30"/>
      <c r="G23" s="19" t="str">
        <f t="shared" si="0"/>
        <v>Açık</v>
      </c>
      <c r="H23" s="29"/>
      <c r="I23" s="30" t="str">
        <f t="shared" si="1"/>
        <v/>
      </c>
      <c r="J23" s="19">
        <f t="shared" ca="1" si="2"/>
        <v>46084</v>
      </c>
      <c r="K23" s="19">
        <f t="shared" ca="1" si="3"/>
        <v>46084</v>
      </c>
      <c r="L23" s="7"/>
      <c r="M23" s="7"/>
      <c r="N23" s="28"/>
    </row>
    <row r="25" spans="1:14" ht="25.5" x14ac:dyDescent="0.2">
      <c r="C25" s="49" t="s">
        <v>34</v>
      </c>
    </row>
    <row r="26" spans="1:14" ht="25.5" x14ac:dyDescent="0.2">
      <c r="C26" s="49" t="s">
        <v>35</v>
      </c>
    </row>
    <row r="27" spans="1:14" ht="25.5" x14ac:dyDescent="0.2">
      <c r="C27" s="49" t="s">
        <v>36</v>
      </c>
    </row>
    <row r="28" spans="1:14" ht="25.5" x14ac:dyDescent="0.2">
      <c r="C28" s="49" t="s">
        <v>37</v>
      </c>
    </row>
    <row r="29" spans="1:14" ht="38.25" x14ac:dyDescent="0.2">
      <c r="C29" s="49" t="s">
        <v>38</v>
      </c>
    </row>
    <row r="30" spans="1:14" x14ac:dyDescent="0.2">
      <c r="C30" s="49" t="s">
        <v>39</v>
      </c>
    </row>
    <row r="31" spans="1:14" x14ac:dyDescent="0.2">
      <c r="C31" s="49" t="s">
        <v>40</v>
      </c>
    </row>
  </sheetData>
  <autoFilter ref="A6:L6" xr:uid="{00000000-0009-0000-0000-000000000000}"/>
  <mergeCells count="12">
    <mergeCell ref="A1:C4"/>
    <mergeCell ref="O6:Z6"/>
    <mergeCell ref="O10:T12"/>
    <mergeCell ref="U1:Z1"/>
    <mergeCell ref="U2:Z2"/>
    <mergeCell ref="U3:Z3"/>
    <mergeCell ref="U4:Z4"/>
    <mergeCell ref="D1:T2"/>
    <mergeCell ref="D3:T4"/>
    <mergeCell ref="A5:B5"/>
    <mergeCell ref="E5:N5"/>
    <mergeCell ref="O5:Z5"/>
  </mergeCells>
  <conditionalFormatting sqref="G7:G23">
    <cfRule type="containsText" dxfId="5" priority="11" stopIfTrue="1" operator="containsText" text="Kapalı">
      <formula>NOT(ISERROR(SEARCH("Kapalı",G7)))</formula>
    </cfRule>
  </conditionalFormatting>
  <conditionalFormatting sqref="G7:G38">
    <cfRule type="containsText" dxfId="4" priority="12" stopIfTrue="1" operator="containsText" text="Açık">
      <formula>NOT(ISERROR(SEARCH("Açık",G7)))</formula>
    </cfRule>
  </conditionalFormatting>
  <conditionalFormatting sqref="I7:I23">
    <cfRule type="containsText" dxfId="3" priority="1" operator="containsText" text="Aksiyon">
      <formula>NOT(ISERROR(SEARCH("Aksiyon",I7)))</formula>
    </cfRule>
    <cfRule type="containsText" dxfId="2" priority="2" operator="containsText" text="İş Bitimi">
      <formula>NOT(ISERROR(SEARCH("İş Bitimi",I7)))</formula>
    </cfRule>
  </conditionalFormatting>
  <conditionalFormatting sqref="K7:K23">
    <cfRule type="cellIs" dxfId="1" priority="9" stopIfTrue="1" operator="greaterThan">
      <formula>0</formula>
    </cfRule>
    <cfRule type="cellIs" dxfId="0" priority="10" stopIfTrue="1" operator="lessThan">
      <formula>0</formula>
    </cfRule>
  </conditionalFormatting>
  <dataValidations count="1">
    <dataValidation type="list" allowBlank="1" showInputMessage="1" showErrorMessage="1" sqref="C7:C23" xr:uid="{00000000-0002-0000-0000-000000000000}">
      <formula1>$C$26:$C$31</formula1>
    </dataValidation>
  </dataValidations>
  <pageMargins left="0.74803149606299213" right="0.74803149606299213" top="0.35433070866141736" bottom="0.31496062992125984" header="0.51181102362204722" footer="0.51181102362204722"/>
  <pageSetup paperSize="9" scale="32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G33"/>
  <sheetViews>
    <sheetView view="pageLayout" zoomScale="130" zoomScaleNormal="100" zoomScalePageLayoutView="130" workbookViewId="0">
      <selection activeCell="B9" sqref="B9"/>
    </sheetView>
  </sheetViews>
  <sheetFormatPr defaultRowHeight="12.75" x14ac:dyDescent="0.2"/>
  <cols>
    <col min="1" max="1" width="13.5703125" customWidth="1"/>
    <col min="2" max="2" width="27.140625" customWidth="1"/>
    <col min="3" max="3" width="13.85546875" customWidth="1"/>
    <col min="4" max="4" width="15.140625" customWidth="1"/>
    <col min="5" max="5" width="13.5703125" customWidth="1"/>
    <col min="6" max="6" width="11.85546875" customWidth="1"/>
    <col min="7" max="7" width="11.42578125" customWidth="1"/>
  </cols>
  <sheetData>
    <row r="1" spans="1:7" x14ac:dyDescent="0.2">
      <c r="A1" s="72"/>
      <c r="B1" s="73" t="s">
        <v>28</v>
      </c>
      <c r="C1" s="73"/>
      <c r="D1" s="73"/>
      <c r="E1" s="73"/>
      <c r="F1" s="74" t="s">
        <v>32</v>
      </c>
      <c r="G1" s="74"/>
    </row>
    <row r="2" spans="1:7" x14ac:dyDescent="0.2">
      <c r="A2" s="72"/>
      <c r="B2" s="73"/>
      <c r="C2" s="73"/>
      <c r="D2" s="73"/>
      <c r="E2" s="73"/>
      <c r="F2" s="74" t="s">
        <v>30</v>
      </c>
      <c r="G2" s="74"/>
    </row>
    <row r="3" spans="1:7" x14ac:dyDescent="0.2">
      <c r="A3" s="72"/>
      <c r="B3" s="73" t="s">
        <v>31</v>
      </c>
      <c r="C3" s="73"/>
      <c r="D3" s="73"/>
      <c r="E3" s="73"/>
      <c r="F3" s="74" t="s">
        <v>27</v>
      </c>
      <c r="G3" s="74"/>
    </row>
    <row r="4" spans="1:7" x14ac:dyDescent="0.2">
      <c r="A4" s="72"/>
      <c r="B4" s="73"/>
      <c r="C4" s="73"/>
      <c r="D4" s="73"/>
      <c r="E4" s="73"/>
      <c r="F4" s="74" t="s">
        <v>29</v>
      </c>
      <c r="G4" s="74"/>
    </row>
    <row r="5" spans="1:7" ht="25.5" x14ac:dyDescent="0.2">
      <c r="A5" s="48" t="s">
        <v>0</v>
      </c>
      <c r="B5" s="48" t="s">
        <v>1</v>
      </c>
      <c r="D5" s="48" t="s">
        <v>42</v>
      </c>
      <c r="E5" s="48" t="s">
        <v>43</v>
      </c>
    </row>
    <row r="6" spans="1:7" x14ac:dyDescent="0.2">
      <c r="A6" s="6">
        <f>COUNTIF('Aksiyon Takip Listesi'!G7:G17,"Açık")</f>
        <v>9</v>
      </c>
      <c r="B6" s="6">
        <f>COUNTIF('Aksiyon Takip Listesi'!G7:G17,"Kapalı")</f>
        <v>2</v>
      </c>
      <c r="D6">
        <f>COUNTIF('Aksiyon Takip Listesi'!I7:I17,"Aksiyon")</f>
        <v>1</v>
      </c>
      <c r="E6">
        <f>COUNTIF('Aksiyon Takip Listesi'!I7:I17,"İş Bitimi")</f>
        <v>1</v>
      </c>
    </row>
    <row r="7" spans="1:7" x14ac:dyDescent="0.2">
      <c r="A7" s="5"/>
      <c r="B7" s="5"/>
    </row>
    <row r="8" spans="1:7" x14ac:dyDescent="0.2">
      <c r="A8" t="s">
        <v>44</v>
      </c>
      <c r="B8" t="s">
        <v>17</v>
      </c>
    </row>
    <row r="9" spans="1:7" x14ac:dyDescent="0.2">
      <c r="A9" s="50" t="s">
        <v>45</v>
      </c>
      <c r="B9">
        <v>39.75</v>
      </c>
    </row>
    <row r="10" spans="1:7" x14ac:dyDescent="0.2">
      <c r="A10" s="50" t="s">
        <v>15</v>
      </c>
      <c r="B10">
        <v>39.75</v>
      </c>
    </row>
    <row r="12" spans="1:7" x14ac:dyDescent="0.2">
      <c r="A12" t="s">
        <v>44</v>
      </c>
      <c r="B12" t="s">
        <v>16</v>
      </c>
    </row>
    <row r="13" spans="1:7" x14ac:dyDescent="0.2">
      <c r="A13" s="50" t="s">
        <v>45</v>
      </c>
      <c r="B13">
        <v>28.5</v>
      </c>
    </row>
    <row r="14" spans="1:7" x14ac:dyDescent="0.2">
      <c r="A14" s="50" t="s">
        <v>15</v>
      </c>
      <c r="B14">
        <v>28.5</v>
      </c>
    </row>
    <row r="16" spans="1:7" ht="13.5" thickBot="1" x14ac:dyDescent="0.25"/>
    <row r="17" spans="1:7" x14ac:dyDescent="0.2">
      <c r="A17" s="40" t="s">
        <v>18</v>
      </c>
      <c r="B17" s="31" t="s">
        <v>19</v>
      </c>
      <c r="C17" s="31" t="s">
        <v>23</v>
      </c>
      <c r="D17" s="31" t="s">
        <v>20</v>
      </c>
      <c r="E17" s="31" t="s">
        <v>47</v>
      </c>
      <c r="F17" s="31" t="s">
        <v>22</v>
      </c>
      <c r="G17" s="32" t="s">
        <v>21</v>
      </c>
    </row>
    <row r="18" spans="1:7" x14ac:dyDescent="0.2">
      <c r="A18" s="33"/>
      <c r="B18" s="34">
        <f ca="1">EOMONTH(TODAY(),0)</f>
        <v>46112</v>
      </c>
      <c r="C18" s="35">
        <f ca="1">COUNTIFS('Aksiyon Takip Listesi'!D7:D17,"&lt;="&amp;$B18,'Aksiyon Takip Listesi'!D7:D17,"&gt;"&amp;$B19)</f>
        <v>0</v>
      </c>
      <c r="D18" s="35">
        <f ca="1">COUNTIFS('Aksiyon Takip Listesi'!$H$7:$H$17,"&lt;="&amp;$B18,'Aksiyon Takip Listesi'!$H$7:$H$17,"&gt;"&amp;$B19)</f>
        <v>0</v>
      </c>
      <c r="E18" s="35">
        <f ca="1">COUNTIFS('Aksiyon Takip Listesi'!$D$7:$D$17,"&lt;="&amp;B18)</f>
        <v>4</v>
      </c>
      <c r="F18" s="35">
        <f ca="1">COUNTIFS('Aksiyon Takip Listesi'!$H$7:$H$17,"&lt;="&amp;B18)</f>
        <v>2</v>
      </c>
      <c r="G18" s="36">
        <f ca="1">E18-F18</f>
        <v>2</v>
      </c>
    </row>
    <row r="19" spans="1:7" x14ac:dyDescent="0.2">
      <c r="A19" s="33">
        <v>-1</v>
      </c>
      <c r="B19" s="34">
        <f ca="1">EOMONTH($B$18,A19)</f>
        <v>46081</v>
      </c>
      <c r="C19" s="35">
        <f ca="1">COUNTIFS('Aksiyon Takip Listesi'!D8:D18,"&lt;="&amp;$B19,'Aksiyon Takip Listesi'!D8:D18,"&gt;"&amp;$B20)</f>
        <v>0</v>
      </c>
      <c r="D19" s="35">
        <f ca="1">COUNTIFS('Aksiyon Takip Listesi'!$H$7:$H$17,"&lt;="&amp;$B19,'Aksiyon Takip Listesi'!$H$7:$H$17,"&gt;"&amp;$B20)</f>
        <v>0</v>
      </c>
      <c r="E19" s="35">
        <f ca="1">COUNTIFS('Aksiyon Takip Listesi'!$D$7:$D$17,"&lt;="&amp;B19)</f>
        <v>4</v>
      </c>
      <c r="F19" s="35">
        <f ca="1">COUNTIFS('Aksiyon Takip Listesi'!$H$7:$H$17,"&lt;="&amp;B19)</f>
        <v>2</v>
      </c>
      <c r="G19" s="36">
        <f t="shared" ref="G19:G25" ca="1" si="0">E19-F19</f>
        <v>2</v>
      </c>
    </row>
    <row r="20" spans="1:7" x14ac:dyDescent="0.2">
      <c r="A20" s="33">
        <v>-2</v>
      </c>
      <c r="B20" s="34">
        <f t="shared" ref="B20" ca="1" si="1">EOMONTH($B$18,A20)</f>
        <v>46053</v>
      </c>
      <c r="C20" s="35">
        <f ca="1">COUNTIFS('Aksiyon Takip Listesi'!D9:D19,"&lt;="&amp;$B20,'Aksiyon Takip Listesi'!D9:D19,"&gt;"&amp;$B21)</f>
        <v>0</v>
      </c>
      <c r="D20" s="35">
        <f ca="1">COUNTIFS('Aksiyon Takip Listesi'!$H$7:$H$17,"&lt;="&amp;$B20,'Aksiyon Takip Listesi'!$H$7:$H$17,"&gt;"&amp;$B21)</f>
        <v>0</v>
      </c>
      <c r="E20" s="35">
        <f ca="1">COUNTIFS('Aksiyon Takip Listesi'!$D$7:$D$17,"&lt;="&amp;B20)</f>
        <v>4</v>
      </c>
      <c r="F20" s="35">
        <f ca="1">COUNTIFS('Aksiyon Takip Listesi'!$H$7:$H$17,"&lt;="&amp;B20)</f>
        <v>2</v>
      </c>
      <c r="G20" s="36">
        <f t="shared" ca="1" si="0"/>
        <v>2</v>
      </c>
    </row>
    <row r="21" spans="1:7" x14ac:dyDescent="0.2">
      <c r="A21" s="33">
        <v>-3</v>
      </c>
      <c r="B21" s="34">
        <f t="shared" ref="B21:B28" ca="1" si="2">EOMONTH($B$18,A21)</f>
        <v>46022</v>
      </c>
      <c r="C21" s="35">
        <f ca="1">COUNTIFS('Aksiyon Takip Listesi'!D10:D20,"&lt;="&amp;$B21,'Aksiyon Takip Listesi'!D10:D20,"&gt;"&amp;$B22)</f>
        <v>0</v>
      </c>
      <c r="D21" s="35">
        <f ca="1">COUNTIFS('Aksiyon Takip Listesi'!$H$7:$H$17,"&lt;="&amp;$B21,'Aksiyon Takip Listesi'!$H$7:$H$17,"&gt;"&amp;$B22)</f>
        <v>0</v>
      </c>
      <c r="E21" s="35">
        <f ca="1">COUNTIFS('Aksiyon Takip Listesi'!$D$7:$D$17,"&lt;="&amp;B21)</f>
        <v>4</v>
      </c>
      <c r="F21" s="35">
        <f ca="1">COUNTIFS('Aksiyon Takip Listesi'!$H$7:$H$17,"&lt;="&amp;B21)</f>
        <v>2</v>
      </c>
      <c r="G21" s="36">
        <f t="shared" ca="1" si="0"/>
        <v>2</v>
      </c>
    </row>
    <row r="22" spans="1:7" x14ac:dyDescent="0.2">
      <c r="A22" s="33">
        <v>-4</v>
      </c>
      <c r="B22" s="34">
        <f t="shared" ca="1" si="2"/>
        <v>45991</v>
      </c>
      <c r="C22" s="35">
        <f ca="1">COUNTIFS('Aksiyon Takip Listesi'!D11:D21,"&lt;="&amp;$B22,'Aksiyon Takip Listesi'!D11:D21,"&gt;"&amp;$B23)</f>
        <v>0</v>
      </c>
      <c r="D22" s="35">
        <f ca="1">COUNTIFS('Aksiyon Takip Listesi'!$H$7:$H$17,"&lt;="&amp;$B22,'Aksiyon Takip Listesi'!$H$7:$H$17,"&gt;"&amp;$B23)</f>
        <v>0</v>
      </c>
      <c r="E22" s="35">
        <f ca="1">COUNTIFS('Aksiyon Takip Listesi'!$D$7:$D$17,"&lt;="&amp;B22)</f>
        <v>4</v>
      </c>
      <c r="F22" s="35">
        <f ca="1">COUNTIFS('Aksiyon Takip Listesi'!$H$7:$H$17,"&lt;="&amp;B22)</f>
        <v>2</v>
      </c>
      <c r="G22" s="36">
        <f t="shared" ca="1" si="0"/>
        <v>2</v>
      </c>
    </row>
    <row r="23" spans="1:7" x14ac:dyDescent="0.2">
      <c r="A23" s="33">
        <v>-5</v>
      </c>
      <c r="B23" s="34">
        <f t="shared" ca="1" si="2"/>
        <v>45961</v>
      </c>
      <c r="C23" s="35">
        <f ca="1">COUNTIFS('Aksiyon Takip Listesi'!D12:D22,"&lt;="&amp;$B23,'Aksiyon Takip Listesi'!D12:D22,"&gt;"&amp;$B24)</f>
        <v>0</v>
      </c>
      <c r="D23" s="35">
        <f ca="1">COUNTIFS('Aksiyon Takip Listesi'!$H$7:$H$17,"&lt;="&amp;$B23,'Aksiyon Takip Listesi'!$H$7:$H$17,"&gt;"&amp;$B24)</f>
        <v>0</v>
      </c>
      <c r="E23" s="35">
        <f ca="1">COUNTIFS('Aksiyon Takip Listesi'!$D$7:$D$17,"&lt;="&amp;B23)</f>
        <v>4</v>
      </c>
      <c r="F23" s="35">
        <f ca="1">COUNTIFS('Aksiyon Takip Listesi'!$H$7:$H$17,"&lt;="&amp;B23)</f>
        <v>2</v>
      </c>
      <c r="G23" s="36">
        <f t="shared" ca="1" si="0"/>
        <v>2</v>
      </c>
    </row>
    <row r="24" spans="1:7" x14ac:dyDescent="0.2">
      <c r="A24" s="33">
        <v>-6</v>
      </c>
      <c r="B24" s="34">
        <f t="shared" ca="1" si="2"/>
        <v>45930</v>
      </c>
      <c r="C24" s="35">
        <f ca="1">COUNTIFS('Aksiyon Takip Listesi'!D13:D22,"&lt;="&amp;$B24,'Aksiyon Takip Listesi'!D13:D22,"&gt;"&amp;$B25)</f>
        <v>0</v>
      </c>
      <c r="D24" s="35">
        <f ca="1">COUNTIFS('Aksiyon Takip Listesi'!$H$7:$H$17,"&lt;="&amp;$B24,'Aksiyon Takip Listesi'!$H$7:$H$17,"&gt;"&amp;$B25)</f>
        <v>0</v>
      </c>
      <c r="E24" s="35">
        <f ca="1">COUNTIFS('Aksiyon Takip Listesi'!$D$7:$D$17,"&lt;="&amp;B24)</f>
        <v>4</v>
      </c>
      <c r="F24" s="35">
        <f ca="1">COUNTIFS('Aksiyon Takip Listesi'!$H$7:$H$17,"&lt;="&amp;B24)</f>
        <v>2</v>
      </c>
      <c r="G24" s="36">
        <f t="shared" ca="1" si="0"/>
        <v>2</v>
      </c>
    </row>
    <row r="25" spans="1:7" x14ac:dyDescent="0.2">
      <c r="A25" s="33">
        <v>-7</v>
      </c>
      <c r="B25" s="34">
        <f t="shared" ca="1" si="2"/>
        <v>45900</v>
      </c>
      <c r="C25" s="35">
        <f ca="1">COUNTIFS('Aksiyon Takip Listesi'!D14:D22,"&lt;="&amp;$B25,'Aksiyon Takip Listesi'!D14:D22,"&gt;"&amp;$B26)</f>
        <v>0</v>
      </c>
      <c r="D25" s="35">
        <f ca="1">COUNTIFS('Aksiyon Takip Listesi'!$H$7:$H$17,"&lt;="&amp;$B25,'Aksiyon Takip Listesi'!$H$7:$H$17,"&gt;"&amp;$B26)</f>
        <v>0</v>
      </c>
      <c r="E25" s="35">
        <f ca="1">COUNTIFS('Aksiyon Takip Listesi'!$D$7:$D$17,"&lt;="&amp;B25)</f>
        <v>4</v>
      </c>
      <c r="F25" s="35">
        <f ca="1">COUNTIFS('Aksiyon Takip Listesi'!$H$7:$H$17,"&lt;="&amp;B25)</f>
        <v>2</v>
      </c>
      <c r="G25" s="36">
        <f t="shared" ca="1" si="0"/>
        <v>2</v>
      </c>
    </row>
    <row r="26" spans="1:7" ht="13.5" thickBot="1" x14ac:dyDescent="0.25">
      <c r="A26" s="37">
        <v>-8</v>
      </c>
      <c r="B26" s="34">
        <f t="shared" ca="1" si="2"/>
        <v>45869</v>
      </c>
      <c r="C26" s="35">
        <f ca="1">COUNTIFS('Aksiyon Takip Listesi'!D15:D22,"&lt;="&amp;$B26,'Aksiyon Takip Listesi'!D15:D22,"&gt;"&amp;$B27)</f>
        <v>0</v>
      </c>
      <c r="D26" s="35">
        <f ca="1">COUNTIFS('Aksiyon Takip Listesi'!$H$7:$H$17,"&lt;="&amp;$B26,'Aksiyon Takip Listesi'!$H$7:$H$17,"&gt;"&amp;$B27)</f>
        <v>0</v>
      </c>
      <c r="E26" s="35">
        <f ca="1">COUNTIFS('Aksiyon Takip Listesi'!$D$7:$D$17,"&lt;="&amp;B26)</f>
        <v>4</v>
      </c>
      <c r="F26" s="35">
        <f ca="1">COUNTIFS('Aksiyon Takip Listesi'!$H$7:$H$17,"&lt;="&amp;B26)</f>
        <v>2</v>
      </c>
      <c r="G26" s="39">
        <f ca="1">E26-F26</f>
        <v>2</v>
      </c>
    </row>
    <row r="27" spans="1:7" ht="13.5" thickBot="1" x14ac:dyDescent="0.25">
      <c r="A27" s="37">
        <v>-9</v>
      </c>
      <c r="B27" s="38">
        <f t="shared" ca="1" si="2"/>
        <v>45838</v>
      </c>
      <c r="C27" s="35">
        <f ca="1">COUNTIFS('Aksiyon Takip Listesi'!D16:D22,"&lt;="&amp;$B27,'Aksiyon Takip Listesi'!D16:D22,"&gt;"&amp;$B28)</f>
        <v>0</v>
      </c>
      <c r="D27" s="35">
        <f ca="1">COUNTIFS('Aksiyon Takip Listesi'!$H$7:$H$17,"&lt;="&amp;$B27,'Aksiyon Takip Listesi'!$H$7:$H$17,"&gt;"&amp;$B28)</f>
        <v>0</v>
      </c>
      <c r="E27" s="35">
        <f ca="1">COUNTIFS('Aksiyon Takip Listesi'!$D$7:$D$17,"&lt;="&amp;B27)</f>
        <v>4</v>
      </c>
      <c r="F27" s="35">
        <f ca="1">COUNTIFS('Aksiyon Takip Listesi'!$H$7:$H$17,"&lt;="&amp;B27)</f>
        <v>2</v>
      </c>
      <c r="G27" s="39">
        <f ca="1">E27-F27</f>
        <v>2</v>
      </c>
    </row>
    <row r="28" spans="1:7" ht="13.5" thickBot="1" x14ac:dyDescent="0.25">
      <c r="A28" s="41">
        <v>-10</v>
      </c>
      <c r="B28" s="42">
        <f t="shared" ca="1" si="2"/>
        <v>45808</v>
      </c>
      <c r="C28" s="35">
        <f ca="1">COUNTIFS('Aksiyon Takip Listesi'!D17:D22,"&lt;="&amp;$B28,'Aksiyon Takip Listesi'!D17:D22,"&gt;"&amp;$B29)</f>
        <v>0</v>
      </c>
      <c r="D28" s="35">
        <f ca="1">COUNTIFS('Aksiyon Takip Listesi'!$H$7:$H$17,"&lt;="&amp;$B28,'Aksiyon Takip Listesi'!$H$7:$H$17,"&gt;"&amp;$B29)</f>
        <v>0</v>
      </c>
      <c r="E28" s="35">
        <f ca="1">COUNTIFS('Aksiyon Takip Listesi'!$D$7:$D$17,"&lt;="&amp;B28)</f>
        <v>4</v>
      </c>
      <c r="F28" s="35">
        <f ca="1">COUNTIFS('Aksiyon Takip Listesi'!$H$7:$H$17,"&lt;="&amp;B28)</f>
        <v>2</v>
      </c>
      <c r="G28" s="39">
        <f ca="1">E28-F28</f>
        <v>2</v>
      </c>
    </row>
    <row r="30" spans="1:7" x14ac:dyDescent="0.2">
      <c r="A30" s="44"/>
      <c r="B30" s="45"/>
    </row>
    <row r="31" spans="1:7" x14ac:dyDescent="0.2">
      <c r="A31" s="44"/>
      <c r="B31" s="45"/>
    </row>
    <row r="32" spans="1:7" x14ac:dyDescent="0.2">
      <c r="A32" s="44"/>
      <c r="B32" s="45"/>
    </row>
    <row r="33" spans="1:2" x14ac:dyDescent="0.2">
      <c r="A33" s="46"/>
      <c r="B33" s="47"/>
    </row>
  </sheetData>
  <mergeCells count="7">
    <mergeCell ref="A1:A4"/>
    <mergeCell ref="B1:E2"/>
    <mergeCell ref="B3:E4"/>
    <mergeCell ref="F1:G1"/>
    <mergeCell ref="F2:G2"/>
    <mergeCell ref="F3:G3"/>
    <mergeCell ref="F4:G4"/>
  </mergeCells>
  <pageMargins left="0.31496062992125984" right="0.27559055118110237" top="0.74803149606299213" bottom="0.74803149606299213" header="0.31496062992125984" footer="0.31496062992125984"/>
  <pageSetup paperSize="9" scale="93" orientation="portrait" r:id="rId3"/>
  <ignoredErrors>
    <ignoredError sqref="C19:C28" formulaRange="1"/>
  </ignoredError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1</vt:i4>
      </vt:variant>
    </vt:vector>
  </HeadingPairs>
  <TitlesOfParts>
    <vt:vector size="3" baseType="lpstr">
      <vt:lpstr>Aksiyon Takip Listesi</vt:lpstr>
      <vt:lpstr>Analiz Sayfası</vt:lpstr>
      <vt:lpstr>'Aksiyon Takip Listesi'!Yazdırma_Alanı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Berk.Turkel@zorlu.com</dc:creator>
  <cp:keywords/>
  <dc:description/>
  <cp:lastModifiedBy>Oğuzhan Kaya</cp:lastModifiedBy>
  <cp:lastPrinted>2010-01-16T12:28:04Z</cp:lastPrinted>
  <dcterms:created xsi:type="dcterms:W3CDTF">1999-05-26T11:21:22Z</dcterms:created>
  <dcterms:modified xsi:type="dcterms:W3CDTF">2026-03-03T14:12:51Z</dcterms:modified>
  <cp:category/>
</cp:coreProperties>
</file>
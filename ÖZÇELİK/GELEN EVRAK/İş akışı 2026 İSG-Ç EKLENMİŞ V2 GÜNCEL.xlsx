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xr:revisionPtr revIDLastSave="0" documentId="13_ncr:1_{1BB28AD8-4D4C-431E-8A73-E799D266A3D3}" xr6:coauthVersionLast="47" xr6:coauthVersionMax="47" xr10:uidLastSave="{00000000-0000-0000-0000-000000000000}"/>
  <bookViews>
    <workbookView xWindow="-110" yWindow="-110" windowWidth="25820" windowHeight="13900" tabRatio="880" activeTab="1" xr2:uid="{00000000-000D-0000-FFFF-FFFF00000000}"/>
  </bookViews>
  <sheets>
    <sheet name="İş akış 2026" sheetId="9" r:id="rId1"/>
    <sheet name="EĞİTİMLER" sheetId="22" r:id="rId2"/>
    <sheet name="cezalar2025" sheetId="16" state="hidden" r:id="rId3"/>
    <sheet name="Özet(YEDAŞ2025)" sheetId="8" state="hidden" r:id="rId4"/>
    <sheet name="Formül" sheetId="7" state="hidden" r:id="rId5"/>
    <sheet name="PROJE SAYILARI" sheetId="18" state="hidden" r:id="rId6"/>
  </sheets>
  <definedNames>
    <definedName name="_Hlk195095072" localSheetId="1">EĞİTİMLER!#REF!</definedName>
    <definedName name="_Hlk195479915" localSheetId="1">EĞİTİMLER!$A$2</definedName>
    <definedName name="_xlnm._FilterDatabase" localSheetId="1" hidden="1">EĞİTİMLER!$A$2:$H$68</definedName>
    <definedName name="_xlnm._FilterDatabase" localSheetId="5" hidden="1">'PROJE SAYILARI'!$A$2:$AE$2</definedName>
    <definedName name="GrafikYılı">YEAR(#REF!)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65" i="22" l="1"/>
  <c r="E67" i="22" s="1"/>
  <c r="B13" i="7" l="1"/>
  <c r="E14" i="9"/>
  <c r="E17" i="9" s="1"/>
  <c r="V23" i="18"/>
  <c r="V22" i="18"/>
  <c r="V21" i="18"/>
  <c r="V20" i="18"/>
  <c r="V19" i="18"/>
  <c r="V18" i="18"/>
  <c r="V17" i="18"/>
  <c r="V16" i="18"/>
  <c r="V15" i="18"/>
  <c r="V14" i="18"/>
  <c r="V13" i="18"/>
  <c r="V12" i="18"/>
  <c r="V11" i="18"/>
  <c r="V10" i="18"/>
  <c r="V9" i="18"/>
  <c r="V8" i="18"/>
  <c r="V7" i="18"/>
  <c r="V6" i="18"/>
  <c r="V5" i="18"/>
  <c r="V4" i="18"/>
  <c r="V3" i="18"/>
  <c r="U24" i="18"/>
  <c r="V24" i="18" l="1"/>
  <c r="S26" i="18"/>
  <c r="R24" i="18"/>
  <c r="Q24" i="18"/>
  <c r="P24" i="18" l="1"/>
  <c r="N24" i="18"/>
  <c r="M24" i="18"/>
  <c r="I24" i="18"/>
  <c r="J24" i="18"/>
  <c r="L24" i="18"/>
  <c r="E4" i="18"/>
  <c r="F4" i="18" s="1"/>
  <c r="E5" i="18"/>
  <c r="F5" i="18" s="1"/>
  <c r="E6" i="18"/>
  <c r="F6" i="18" s="1"/>
  <c r="E7" i="18"/>
  <c r="F7" i="18" s="1"/>
  <c r="E8" i="18"/>
  <c r="F8" i="18" s="1"/>
  <c r="E9" i="18"/>
  <c r="F9" i="18" s="1"/>
  <c r="E10" i="18"/>
  <c r="F10" i="18" s="1"/>
  <c r="E11" i="18"/>
  <c r="F11" i="18" s="1"/>
  <c r="E12" i="18"/>
  <c r="F12" i="18" s="1"/>
  <c r="E13" i="18"/>
  <c r="F13" i="18" s="1"/>
  <c r="E14" i="18"/>
  <c r="F14" i="18" s="1"/>
  <c r="E15" i="18"/>
  <c r="F15" i="18" s="1"/>
  <c r="E16" i="18"/>
  <c r="F16" i="18" s="1"/>
  <c r="E17" i="18"/>
  <c r="F17" i="18" s="1"/>
  <c r="E18" i="18"/>
  <c r="F18" i="18" s="1"/>
  <c r="E19" i="18"/>
  <c r="F19" i="18" s="1"/>
  <c r="E20" i="18"/>
  <c r="F20" i="18" s="1"/>
  <c r="E21" i="18"/>
  <c r="F21" i="18" s="1"/>
  <c r="E22" i="18"/>
  <c r="F22" i="18" s="1"/>
  <c r="E23" i="18"/>
  <c r="F23" i="18" s="1"/>
  <c r="E3" i="18"/>
  <c r="F3" i="18" s="1"/>
  <c r="F24" i="18" l="1"/>
  <c r="AA3" i="18"/>
  <c r="AB3" i="18" s="1"/>
  <c r="AB4" i="18" s="1"/>
  <c r="G5" i="18" l="1"/>
  <c r="H5" i="18" s="1"/>
  <c r="G17" i="18"/>
  <c r="H17" i="18" s="1"/>
  <c r="G6" i="18"/>
  <c r="H6" i="18" s="1"/>
  <c r="G18" i="18"/>
  <c r="H18" i="18" s="1"/>
  <c r="G7" i="18"/>
  <c r="H7" i="18" s="1"/>
  <c r="G19" i="18"/>
  <c r="H19" i="18" s="1"/>
  <c r="G8" i="18"/>
  <c r="H8" i="18" s="1"/>
  <c r="G20" i="18"/>
  <c r="H20" i="18" s="1"/>
  <c r="G9" i="18"/>
  <c r="H9" i="18" s="1"/>
  <c r="G21" i="18"/>
  <c r="H21" i="18" s="1"/>
  <c r="G10" i="18"/>
  <c r="H10" i="18" s="1"/>
  <c r="G11" i="18"/>
  <c r="H11" i="18" s="1"/>
  <c r="G23" i="18"/>
  <c r="H23" i="18" s="1"/>
  <c r="G12" i="18"/>
  <c r="H12" i="18" s="1"/>
  <c r="G3" i="18"/>
  <c r="H3" i="18" s="1"/>
  <c r="G13" i="18"/>
  <c r="H13" i="18" s="1"/>
  <c r="G14" i="18"/>
  <c r="H14" i="18" s="1"/>
  <c r="G15" i="18"/>
  <c r="H15" i="18" s="1"/>
  <c r="G4" i="18"/>
  <c r="H4" i="18" s="1"/>
  <c r="G16" i="18"/>
  <c r="H16" i="18" s="1"/>
  <c r="G22" i="18"/>
  <c r="H22" i="18" s="1"/>
  <c r="W24" i="18" l="1"/>
  <c r="W25" i="18" s="1"/>
  <c r="O11" i="18"/>
  <c r="S11" i="18"/>
  <c r="T11" i="18" s="1"/>
  <c r="O9" i="18"/>
  <c r="S9" i="18"/>
  <c r="O21" i="18"/>
  <c r="S21" i="18"/>
  <c r="T21" i="18" s="1"/>
  <c r="O20" i="18"/>
  <c r="S20" i="18"/>
  <c r="T20" i="18" s="1"/>
  <c r="O8" i="18"/>
  <c r="S8" i="18"/>
  <c r="T8" i="18" s="1"/>
  <c r="O10" i="18"/>
  <c r="S10" i="18"/>
  <c r="T10" i="18" s="1"/>
  <c r="O22" i="18"/>
  <c r="S22" i="18"/>
  <c r="T22" i="18" s="1"/>
  <c r="O16" i="18"/>
  <c r="S16" i="18"/>
  <c r="T16" i="18" s="1"/>
  <c r="O4" i="18"/>
  <c r="S4" i="18"/>
  <c r="T4" i="18" s="1"/>
  <c r="O15" i="18"/>
  <c r="S15" i="18"/>
  <c r="T15" i="18" s="1"/>
  <c r="O19" i="18"/>
  <c r="S19" i="18"/>
  <c r="T19" i="18" s="1"/>
  <c r="O13" i="18"/>
  <c r="S13" i="18"/>
  <c r="T13" i="18" s="1"/>
  <c r="O18" i="18"/>
  <c r="S18" i="18"/>
  <c r="T18" i="18" s="1"/>
  <c r="O7" i="18"/>
  <c r="S7" i="18"/>
  <c r="T7" i="18" s="1"/>
  <c r="O3" i="18"/>
  <c r="S3" i="18"/>
  <c r="T3" i="18" s="1"/>
  <c r="O6" i="18"/>
  <c r="S6" i="18"/>
  <c r="T6" i="18" s="1"/>
  <c r="O14" i="18"/>
  <c r="S14" i="18"/>
  <c r="T14" i="18" s="1"/>
  <c r="O12" i="18"/>
  <c r="S12" i="18"/>
  <c r="T12" i="18" s="1"/>
  <c r="O17" i="18"/>
  <c r="S17" i="18"/>
  <c r="T17" i="18" s="1"/>
  <c r="O23" i="18"/>
  <c r="S23" i="18"/>
  <c r="T23" i="18" s="1"/>
  <c r="O5" i="18"/>
  <c r="S5" i="18"/>
  <c r="T5" i="18" s="1"/>
  <c r="K24" i="18"/>
  <c r="L25" i="18" s="1"/>
  <c r="H24" i="18"/>
  <c r="O24" i="18" l="1"/>
  <c r="P25" i="18" s="1"/>
  <c r="S24" i="18"/>
  <c r="T9" i="18"/>
  <c r="T24" i="18" s="1"/>
  <c r="B9" i="7"/>
  <c r="L14" i="9" s="1"/>
  <c r="K14" i="9"/>
  <c r="T25" i="18" l="1"/>
  <c r="B10" i="7" l="1"/>
  <c r="F4" i="7"/>
  <c r="B4" i="7"/>
  <c r="F14" i="9" l="1"/>
  <c r="F12" i="9" s="1"/>
  <c r="B5" i="7"/>
  <c r="G4" i="7"/>
  <c r="H4" i="7" s="1"/>
  <c r="I4" i="7" s="1"/>
  <c r="B11" i="7"/>
  <c r="M14" i="9"/>
  <c r="B6" i="7" l="1"/>
  <c r="G14" i="9"/>
  <c r="G12" i="9" s="1"/>
  <c r="B12" i="7"/>
  <c r="N14" i="9"/>
  <c r="B7" i="7" l="1"/>
  <c r="H14" i="9"/>
  <c r="H12" i="9" s="1"/>
  <c r="O14" i="9"/>
  <c r="I14" i="9" l="1"/>
  <c r="I12" i="9" s="1"/>
  <c r="J14" i="9"/>
  <c r="B14" i="7" l="1"/>
  <c r="P14" i="9"/>
  <c r="Q14" i="9" l="1"/>
  <c r="B15" i="7"/>
</calcChain>
</file>

<file path=xl/sharedStrings.xml><?xml version="1.0" encoding="utf-8"?>
<sst xmlns="http://schemas.openxmlformats.org/spreadsheetml/2006/main" count="964" uniqueCount="567">
  <si>
    <t>Gün</t>
  </si>
  <si>
    <t>Sözleşme imzalandı</t>
  </si>
  <si>
    <t>Yer teslimi talebi yapılır</t>
  </si>
  <si>
    <t>Yer teslimi yapılır</t>
  </si>
  <si>
    <t>Yer teslimi onaylanır</t>
  </si>
  <si>
    <t>İş programı hazırlanır</t>
  </si>
  <si>
    <t>İş programı hazırlanır ve onaylanır</t>
  </si>
  <si>
    <t>İçerik</t>
  </si>
  <si>
    <t>Yüklenici Sorumluluğu</t>
  </si>
  <si>
    <t>Cezai Durum</t>
  </si>
  <si>
    <t>Sözleşmenin taraflarını içeriyor.</t>
  </si>
  <si>
    <t>Taraflara ait bilgileri içeriyor.</t>
  </si>
  <si>
    <t>İşin adını, yapılma yerini, niteliğini, türünü ve miktarını içeriyor.</t>
  </si>
  <si>
    <t>Tanımlar</t>
  </si>
  <si>
    <t>Sözleşmenin türü ve bedeli</t>
  </si>
  <si>
    <t xml:space="preserve">Teminata ilişkin hükümler </t>
  </si>
  <si>
    <t>Teslim, muayene ve kabul işlemlerine ilişkin şartlar</t>
  </si>
  <si>
    <t>Sorumluluk Alanı ve Bölgeler Arası Çalışma</t>
  </si>
  <si>
    <t xml:space="preserve">İş Sağlığı ve Güvenliği </t>
  </si>
  <si>
    <t>Projeler</t>
  </si>
  <si>
    <t xml:space="preserve">Kabul Edilmeyen İşler </t>
  </si>
  <si>
    <t>Geçici ve Kesin Kabul ile Tespitler</t>
  </si>
  <si>
    <t>Sözleşmenin imzalanması</t>
  </si>
  <si>
    <t>2.Hk.</t>
  </si>
  <si>
    <t>1.Hk.</t>
  </si>
  <si>
    <t>3.Hk.</t>
  </si>
  <si>
    <t>4.Hk.</t>
  </si>
  <si>
    <t>5.Hk.</t>
  </si>
  <si>
    <t>YÜKLENİCİ SORUMLULUĞU</t>
  </si>
  <si>
    <t>VERİLEN SÜRE</t>
  </si>
  <si>
    <t>CEZA TUTARI</t>
  </si>
  <si>
    <t>NOT</t>
  </si>
  <si>
    <t>-</t>
  </si>
  <si>
    <t xml:space="preserve">1 adet Elektrik Mühendisi şantiye şefi bulunduracaktır. </t>
  </si>
  <si>
    <t>10 Gün</t>
  </si>
  <si>
    <t>Cezalı çalışma süresi 10(On) günü geçemez</t>
  </si>
  <si>
    <t xml:space="preserve">%0.1 X Sözleşme Bedeli </t>
  </si>
  <si>
    <t>Sahada imalatı yapılan her türlü çalışma  projelendirilerek hakediş döneminde hakkediş eki olarak sunulur</t>
  </si>
  <si>
    <t>7 Gün</t>
  </si>
  <si>
    <t>Geçici  Kabul yapılası ve eksikliklerin giderilmesi</t>
  </si>
  <si>
    <t>Kesin Hakediş</t>
  </si>
  <si>
    <t>(SÇ)</t>
  </si>
  <si>
    <t>Sözleşmenin İmzalanması</t>
  </si>
  <si>
    <t>Yer Teslimi Talebinin Yapılması</t>
  </si>
  <si>
    <t>Saha Çalışmalarının Başlaması</t>
  </si>
  <si>
    <t>SÖZLEŞMENİN İMZALANMASI VE İŞE BAŞLANMASI</t>
  </si>
  <si>
    <t>AYLIK HAKEDİŞLERİN YAPILMASI VE İŞLERİN GEÇİCİ KABULE HAZIR HALE GETİRİLMESİ</t>
  </si>
  <si>
    <t>KESİN KABUL SÜRECİ VE KESİN TEMİNAT İADELERİ</t>
  </si>
  <si>
    <t>Kesin Hakediş İnceleme Süreci</t>
  </si>
  <si>
    <t xml:space="preserve">KESİN HAKEDİŞ </t>
  </si>
  <si>
    <t>MADDE NO</t>
  </si>
  <si>
    <t>KONU</t>
  </si>
  <si>
    <t>İÇERİK</t>
  </si>
  <si>
    <t>SÖZLEŞME HAZIRLIK  VE İHALE SÜRECİ</t>
  </si>
  <si>
    <t>Sözleşme Süreci,İhale Süreci</t>
  </si>
  <si>
    <t>3000 TL</t>
  </si>
  <si>
    <t>Yeni Malzeme Mutabakatı</t>
  </si>
  <si>
    <t>Demontaj Malzeme Mutabakatı</t>
  </si>
  <si>
    <t xml:space="preserve">Son Durum Proje Kontrolü </t>
  </si>
  <si>
    <t>Saha Metraj Kontrolü</t>
  </si>
  <si>
    <t>İhale Sonucu</t>
  </si>
  <si>
    <t>Genel Hükümler</t>
  </si>
  <si>
    <t>Sözleşme bedeli üzerinden %10 malzeme teminatının getirilmesi.</t>
  </si>
  <si>
    <t>Cezai Hükümler</t>
  </si>
  <si>
    <t>BLOKE TUTARI</t>
  </si>
  <si>
    <t>Proje Hakediş Tutarının 10%'u</t>
  </si>
  <si>
    <t>Teslim edilmeyen demontaj malzemeler için 1 yeni malzeme bedeli</t>
  </si>
  <si>
    <t>Mevcut durum saha tespit tutanağına göre yapılan demontaj malzeme mutabakatı sonucu teslim edilmemiş her demontaj kalemi için.</t>
  </si>
  <si>
    <t>Proje Hakediş Tutarının %5 'i</t>
  </si>
  <si>
    <t>Proje sürecinde yüklenicinin iş bu sözleşme kapsamında YEDAŞ’a sunması gereken bilgi ve belgeleri (Personel bilgisi, İş Planı, İlerleme raporu, sigorta vs.…) sözleşmede belirtilen ve proje yürütümü esnasında YEDAŞ ’ın bildireceği sürelerde sunmaz ise.</t>
  </si>
  <si>
    <t>Geçici kabul</t>
  </si>
  <si>
    <t>Proje Hakediş Tutarının %50 'i</t>
  </si>
  <si>
    <t xml:space="preserve">Teslim edilmeyen demontaj malzemeleri için </t>
  </si>
  <si>
    <t>Teslim edilmeyen yeni malzemeler için 2 yeni malzeme bedeli</t>
  </si>
  <si>
    <t>Kesin hesap yapımı sürecinde yapılan yeni malzeme mutabakatına istinaden yüklenici tarafından teslim edilemeyen malzemeler için uygulanır</t>
  </si>
  <si>
    <t>Yükleniciye teslim edilen yeni malzemeler için</t>
  </si>
  <si>
    <t xml:space="preserve">Bildirimli kesintiler.Sistem işletme birimi, Kontrol heyeti ve Yüklenici Sorumlusu bir araya gelerek, kesintinin süresini belirler. </t>
  </si>
  <si>
    <t xml:space="preserve">25.000 (Yirmi Beş Bin) TL </t>
  </si>
  <si>
    <t>Her bir kesinti için</t>
  </si>
  <si>
    <t>Kesinti süresinin 0 dakika – 30 dakika arasında gecikmesi durumunda</t>
  </si>
  <si>
    <t>10.000 (On Bin) TL</t>
  </si>
  <si>
    <t>30 dakika – 60 dakika arasında gecikmesi durumunda</t>
  </si>
  <si>
    <t>60 dakikayı geçmesi halinde</t>
  </si>
  <si>
    <t xml:space="preserve">50.000 (Elli Bin) TL </t>
  </si>
  <si>
    <t>YÜKLENİCİ’den ilgili diğer cezaların yanı sıra YEDAŞ’ın tüketicilere ödemek zorunda olduğu Elektrik Dağıtımı ve Perakende Satışına İlişkin Hizmet Kalitesi Yönetmeliği’nin veya yürürlükte olan yönetmeliklerin ilgili maddeleri kapsamında hesaplanacak ceza bedelleri</t>
  </si>
  <si>
    <t>Ayrıca 10 saati aşan kesinti ya da süreden bağımsız herhangi bir kesinti nedeniyle oluşacak 3. Şahıs hasarları, hasar gören abonelerin talepleri ya da Kontrol Heyeti’nin tespiti dahilinde hesaplanacak olup söz konusu bedeller YÜKLENİCİ’den tahsil edilebilir.</t>
  </si>
  <si>
    <t xml:space="preserve">Çalışma yapılan bölgede belirtilen standartlarda bilgilendirici levha bulundurulmaması durumunda </t>
  </si>
  <si>
    <t xml:space="preserve">20.000 (yirmi bin) TL </t>
  </si>
  <si>
    <t>Müşterilerin, Yüklenici personelleriyle ilgili yapılan şikayetlerin şirketimiz tarafından yapılan değerlendirme neticesinde Yüklenici personelinin kusurlu bulunması durumunda olay ve olayla ilişkili Yüklenici personeli başına</t>
  </si>
  <si>
    <t xml:space="preserve">30.000 (Otuz bin) TL </t>
  </si>
  <si>
    <t>Söz konusu personel sahadan uzaklaştırılır.</t>
  </si>
  <si>
    <t>YEDAŞ’ın yapacağı denetimlere ve numune alma işlemine YÜKLENİCİ tarafından engel olunması</t>
  </si>
  <si>
    <t xml:space="preserve">İş durdurulur </t>
  </si>
  <si>
    <t>Bu durumun ortadan kaldırılmaması halinde YÜKLENİCİ’nin kesin teminatı irat kaydedilerek Sözleşme feshedilebilir.</t>
  </si>
  <si>
    <t>YÜKLENİCİ’nin tedarik ettiği malzemeleri YEDAŞ’a bildirmemesi halinde</t>
  </si>
  <si>
    <t>Sözleşme bedelinin %1’i (Yüzde Bir)</t>
  </si>
  <si>
    <t>Tespit sayısının 10 adeti aşması halinde YÜKLENİCİ’nin kesin teminatı irat kaydedilerek Sözleşme feshedilebilir.</t>
  </si>
  <si>
    <t>Ayıplı/uygunsuz malzeme kullandığı tespit edilmesi halinde</t>
  </si>
  <si>
    <t xml:space="preserve">Sözleşme bedelinin %0,1 (Binde Bir) </t>
  </si>
  <si>
    <t>5 Gün</t>
  </si>
  <si>
    <t>YÜKLENİCİ nin iş kanunu ve sair mevzuat hükümlerine aykırı davranmasını tespit etmesi yahut buna ilişkin şikayet olması halinde</t>
  </si>
  <si>
    <t>Söz konusu aykırılığının giderilmesi için yükleniciye bir hafta süre verilir.</t>
  </si>
  <si>
    <t>Yer teslim talebinde bulunulmaması durumunda</t>
  </si>
  <si>
    <t>Sözleşme feshi ve YEDAŞ'ın uğradığı tüm zararların karşılanması.</t>
  </si>
  <si>
    <t xml:space="preserve">Yüklenicinin 5 (Beş) gün içerisinde yer teslimi talebinde bulunmaması halinde, 5 (Beş) günü takip eden 10 (On) gün içerisinde, YEDAŞ tarafından resen belirlenecek bir tarihte, Yüklenici yer teslimine davet edilecektir. Yüklenici saptanan günde yer teslimi yapılacak mahalde bulunmaz veya noterlikçe yetkili kılınmış teknik vekilini bulundurmazsa </t>
  </si>
  <si>
    <t>YÜKLENİCİ kaynaklı sebeplerle enerji kesintisi belirlenen sürede gerçekleşmezse ya da geçerli bir sebep olmaksızın planlanan ve ilan edilen kesinti gerçekleşmeyip iptal olursa</t>
  </si>
  <si>
    <t>Bir planlı kesinti süresinin 10 saati geçmesi halinde</t>
  </si>
  <si>
    <t xml:space="preserve">Her hakediş döneminde iş programına uyulacaktır. </t>
  </si>
  <si>
    <t>Yüklenicinin sözleşmeye uygun olarak işleri,  iş programında belirtilen sürelerde (geçici kabule hazır hale getireceği tarihe kadar) bitirecektir.  Bu durumun 5 projede meydana gelmesi durumunda sözleşme feshedilir.</t>
  </si>
  <si>
    <t>Gecikilen günün 10 (On) günü aşması halinde ayıplı/uygunsuz malzemenin demontaj edilemeyecek durumda olduğu kabul edilir ve Sözleşme’nin 33.1.j maddesi çerçevesinde  kesin teminat ve varsa ek kesin teminatlar gelir kaydedilir ve sözleşme feshedilerek hesabı sözleşmenin ilgili maddelerine göre tasfiye edilir.</t>
  </si>
  <si>
    <t xml:space="preserve">26.13. </t>
  </si>
  <si>
    <t xml:space="preserve">26.14. </t>
  </si>
  <si>
    <t xml:space="preserve">26.6. </t>
  </si>
  <si>
    <t xml:space="preserve">10.8. </t>
  </si>
  <si>
    <t xml:space="preserve">26.2. </t>
  </si>
  <si>
    <t xml:space="preserve">26.7. </t>
  </si>
  <si>
    <t xml:space="preserve">26.8. </t>
  </si>
  <si>
    <t xml:space="preserve">26.9. </t>
  </si>
  <si>
    <t xml:space="preserve">26.10. </t>
  </si>
  <si>
    <t xml:space="preserve">26.11. </t>
  </si>
  <si>
    <t xml:space="preserve">26.12. </t>
  </si>
  <si>
    <t xml:space="preserve">26.15. </t>
  </si>
  <si>
    <t>32.1.2.</t>
  </si>
  <si>
    <t>Madde 6</t>
  </si>
  <si>
    <t>Madde 7</t>
  </si>
  <si>
    <t>GENEL HÜKÜMLER</t>
  </si>
  <si>
    <t>İSG-Ç ŞARTNAMESİ</t>
  </si>
  <si>
    <t>5.Hk ve Geçici Kabule Hazırlanması</t>
  </si>
  <si>
    <t>GENEL HÜKÜMLER-ÖZEL HÜKÜMLER</t>
  </si>
  <si>
    <t>Sözleşme belirtilen miktarda kesin teminat getirilmesi</t>
  </si>
  <si>
    <t>Konu ve Bütünlük</t>
  </si>
  <si>
    <t>Taraflara İlişkin Bilgiler</t>
  </si>
  <si>
    <t>Yüklenicinin Sorumluluğu</t>
  </si>
  <si>
    <t>Sözleşme kapsamında yapılan çalışmalarda mevzuata ve sözleşmeye uyacağını kabul eder</t>
  </si>
  <si>
    <t>İSG-ç'ye uygun davranacak</t>
  </si>
  <si>
    <t>Yüklenici tarafından kullanılacak araçlar işin yapımına  uygun, işçi sağlığına ris oluşturmayacak araçları temin edecek.</t>
  </si>
  <si>
    <t>Kontrol Teşikilatı ve Denetim</t>
  </si>
  <si>
    <t xml:space="preserve">İşin uygun yürütülüp yürütülmediği YEDAŞ tarafından her zaman kontrol edebilir </t>
  </si>
  <si>
    <t>Yüklenici denetim esnasında her türlü desteği ve kolaylığı sağlayacak.</t>
  </si>
  <si>
    <t>Süre Uzatımı Verilebilecek Haller ve Şartlar</t>
  </si>
  <si>
    <t>Mücbir sebepler ve YEDAŞ'tan kaynaklanan nedenlerle süre uzatımı verilme durumu.</t>
  </si>
  <si>
    <t xml:space="preserve">YÜKLENİCİ’nin Ölümü, İflası, Ağır Hastalığı, Tutukluluğu veya Mahkûmiyeti </t>
  </si>
  <si>
    <t xml:space="preserve">İşin devamı sırasında dikkat edilecek hususlar, yürütülmesine ilişkin kayıt, tutanaklar, hak ediş ve kesin hesapların yapılması </t>
  </si>
  <si>
    <t>Hakedişlerin düzenlenmesi ve hakedişle birlikte teslim edilmesi gereken evraklar</t>
  </si>
  <si>
    <t>Tesis çizimleri , malzeme mutabakat formu, Enerjilendirme protokolleri vb diğer evraklar.</t>
  </si>
  <si>
    <t>İşin ve işyerlerinin korunması ve sigortalanması</t>
  </si>
  <si>
    <t>Her türlü araç, malzeme, iş ve hizmet makine, taşıtların sigortalanması</t>
  </si>
  <si>
    <t>All Risk Sigortası ve Mali mesuliyet Sigortası Yaptırmakla Yükümlüdür.</t>
  </si>
  <si>
    <t>Yer teslimi talebi ve onaylanmasını içeren madde</t>
  </si>
  <si>
    <t>Yer teslimi onaylanma tarihi işe başlama tarihi olarak belirlenir ve İSG-Ç gereksinimlerini yerine getirmekle yükümlüdür.</t>
  </si>
  <si>
    <t>İş programının yapılmasına dair madde</t>
  </si>
  <si>
    <t>Yer tesliminin onaylanmasından itibaren 5 gün içerisinde iş programı hazırlanır ve 5 gün içerisimde YEDAŞ gerekli düzenlemeleri yaparak onaylar.</t>
  </si>
  <si>
    <t>Yüklenicinin saha operasyonunu belirtiyor.</t>
  </si>
  <si>
    <t>Bu mühendisler başka sözleşme kapsamında veya başka işte kullanıkmayacaktır.</t>
  </si>
  <si>
    <t>Teknik personel ve Sepetli Araç bulundurulması</t>
  </si>
  <si>
    <t>1 adet şantiye şefi ve 1 adet saha mühendisi olmak üzere en az 2 mühendis. Ayrıca her ekip için birer adet elektrik-elektronik mühn- veya teknikeri bulundurmak zorundadır.Tam zamanlı görevlendirilmek üzere en az C sınıfı İSG uzmanı</t>
  </si>
  <si>
    <t>Sepetli araç bulundurma şartı ile ilgili madde</t>
  </si>
  <si>
    <t>talepten bağımsız olarak işin niteliğine göre sayının yetmemesi durumunda talepten bağımsız olarak sepetli araç bulundurmak zorunda</t>
  </si>
  <si>
    <t>Yüklenici tarafından tedarik edilen malzemlerin uygunluğunun kontrolü ile ilgili madde</t>
  </si>
  <si>
    <t>Uygunsuz hatalı malzemelerin değiştirilmesi bunlar için ödenen bedelleri geri istenebilir</t>
  </si>
  <si>
    <t>Malzeme kabul heyeti oluşturulacak.</t>
  </si>
  <si>
    <t xml:space="preserve">Ayıplı/uygunsuz malzemelerin kullanılması durumunda ödemeler askıya alınır v uygunsuzluğun giderilmemesi durumunda sözleşme feshedilir. </t>
  </si>
  <si>
    <t>Montaj, işletmeye alma, eğitim, bakım onarım, yedek parça gibi destek hizmetlerine ait şartlar</t>
  </si>
  <si>
    <t>Tesis enerjilendirildiği tarihte enerjilendirme tutanağı tutulmalı</t>
  </si>
  <si>
    <t>Tesis uygun duruma getirilip enerjilendirildiği süreye göre cezai işlem uygulanır.</t>
  </si>
  <si>
    <t>Diğer il ve ilçelerde yüklenici görevlendirilebilir.</t>
  </si>
  <si>
    <t>Acil iş kapsamında verilen işleri öncelikli olarak yapacaktır.</t>
  </si>
  <si>
    <t xml:space="preserve">Proje Yönetimine ilişkin şartlar </t>
  </si>
  <si>
    <t>İşler fen ve sanat kurallarına uygun olarak yapılmasını belirten madde.</t>
  </si>
  <si>
    <t>Projede risk teşkil eden etken ve gereksinimleri tespit ederek gerekli önlemlerin alıması konusunda YEDAŞ'a raporlar.</t>
  </si>
  <si>
    <t>Özel Hükümler Madde</t>
  </si>
  <si>
    <t>Genel Hükümler Madde</t>
  </si>
  <si>
    <t>elektrik tesis proje yönetmeliği ve proje onayına ilişkin usul ve esaslara göre projeler düzenlenecektir.</t>
  </si>
  <si>
    <t>Projeler için ayrıca bir bedel ödenmeyecektir.</t>
  </si>
  <si>
    <t>KEYPOS isterleri yerine getirilecektir. Projeler ile ilgili her türlü bilgi belge YEDAŞ'a teslim edilecek.</t>
  </si>
  <si>
    <t>Malzemelerin Taşınma, Muhafaza ve İadesi</t>
  </si>
  <si>
    <t>YEDAŞ tarafından verilen malzemelerin ve sahadan sökülen malzemelerin eksiksiz olarak geri getirilmesini içerir madde.</t>
  </si>
  <si>
    <t>Kesin ölçümler sonucu kalan malzemeyi YEDAŞ ambarlarına teslim edilmesi</t>
  </si>
  <si>
    <t>Malzeme mutabakatı sonrasında deposunda kalan malzemelerin iadesini gerçekleştirmezse güncel bedeller üzerinden mahsup edilir. İşin devamı sırasında malzemenin başka bir tesiste kullanıldığı anlaşılırsa teminatlarından güncel malzeme bedeli kesilir.</t>
  </si>
  <si>
    <t>Geçici kabul ve kesin kabul işlemleri elektrik tesisleri kabul yönetmeliğine  ve diğer mevzuat hükümlerince yapılır.</t>
  </si>
  <si>
    <t>Tesise ait resimler topraklama ölçümleri …vb YEDAŞ'a teslim edilecektir.</t>
  </si>
  <si>
    <t>anahtar teslim biri fiyatlı eser sözleşme</t>
  </si>
  <si>
    <t>2025 yılı TEDAŞ birim fiyat kitabı ve YEDAŞ tarafından oluşturulmuş birim fiyatlar üzerinden uygulanacaktır.</t>
  </si>
  <si>
    <t xml:space="preserve">Yer Teslimi </t>
  </si>
  <si>
    <t>İş Programı</t>
  </si>
  <si>
    <t>Sözşmenin Başlangıç süresi işe başlama ve bitirme tarihleri</t>
  </si>
  <si>
    <t>5 gün içinde yer teslimi talebinde bulunulur ve 10 gün içerisinde yer teslimi yapılır</t>
  </si>
  <si>
    <t>Madde 1</t>
  </si>
  <si>
    <t>Madde 2</t>
  </si>
  <si>
    <t>Madde 3</t>
  </si>
  <si>
    <t>Madde 4</t>
  </si>
  <si>
    <t>Madde 5</t>
  </si>
  <si>
    <t>Madde 8</t>
  </si>
  <si>
    <t>Madde 9</t>
  </si>
  <si>
    <t>Madde 10</t>
  </si>
  <si>
    <t>Madde 11</t>
  </si>
  <si>
    <t>Madde 12</t>
  </si>
  <si>
    <t>Madde 13</t>
  </si>
  <si>
    <t>Madde 14</t>
  </si>
  <si>
    <t>Madde 15</t>
  </si>
  <si>
    <t>Madde 16</t>
  </si>
  <si>
    <t>Madde 17</t>
  </si>
  <si>
    <t>Madde 18</t>
  </si>
  <si>
    <t>Madde 19</t>
  </si>
  <si>
    <t>Madde 20</t>
  </si>
  <si>
    <t>Madde 21</t>
  </si>
  <si>
    <t>Madde 22</t>
  </si>
  <si>
    <t>Teminatlara ilişkin hükümler-Kesin teminat</t>
  </si>
  <si>
    <t>Teminatlara ilişkin hükümler-Malzeme Teminatı</t>
  </si>
  <si>
    <t>Kesin teminat tl cinsinden verilirse %10USD ve EURO olarak mektup şeklinde verilmesi durumunda %6, Euro ve Dolar cinsinden nakit olarak verilmesi durumunda %5 i olmak üzere 4 yıl süreli</t>
  </si>
  <si>
    <t>Sözleşme bedelinin %10'u olmak üzere 15 aylık</t>
  </si>
  <si>
    <t>Kesin kabullerin yapılmış ve hiçbir hukuki sürecinin bulunmaması durumunda 4 yıl sonunda geri verilir.</t>
  </si>
  <si>
    <t>Kesin hakediş ve malzeme mutabakatı yapıldıktan sonra iade edilr.</t>
  </si>
  <si>
    <t>Ödeme yeri ve şartları</t>
  </si>
  <si>
    <t xml:space="preserve">faturanın %50si 20.günde %50'si 40.günde </t>
  </si>
  <si>
    <t>hakediş raporu ile birlikte YEDAŞ'ın talep ettiği evrakları getirmekle yükümlüdür.</t>
  </si>
  <si>
    <t>Avans verilmesi</t>
  </si>
  <si>
    <t>Avans verilmeyecek</t>
  </si>
  <si>
    <t>Fiyat farkı ödenmesi</t>
  </si>
  <si>
    <t>Fiyat farkı ödenmeyecek</t>
  </si>
  <si>
    <t>Güvenli çalışma performansı fiyat farkı değerlendirilmesi kapsamında İSG performansına göre +-%1 oranında sözleşme bedeli üzerinden değerlendirilecek</t>
  </si>
  <si>
    <t>Alt yüklenici ve sözleşmeninn devri yasağı</t>
  </si>
  <si>
    <t>Alt yüklenici çalıştıramaz, sözleşme devri yapılamaz</t>
  </si>
  <si>
    <t>Yüklenicinin sorumluluğu</t>
  </si>
  <si>
    <t>Belirli sayıda mühendis ve taknik personel bulunduracak, Malzeme tedariği yapacağı,</t>
  </si>
  <si>
    <t>İş eksiltme İlave İş verme</t>
  </si>
  <si>
    <t>%25 ile sınırlıdır.</t>
  </si>
  <si>
    <t>Hükmü bulunamayan haller</t>
  </si>
  <si>
    <t>İstenildiği taktirde findeks…vs verecek</t>
  </si>
  <si>
    <t>HER TÜRLÜ BİLİGİ BELGELERİ ALMAK VE yedaş'A TESLİM ETMEKLE YÜKÜMLÜ</t>
  </si>
  <si>
    <t>Yüklenicinin ölümü iflası ağır hastlığı tutukluluk veya mahkumiyeti</t>
  </si>
  <si>
    <t>%50 ortak ölürse veya iflas ederse sözleşme feshedilir</t>
  </si>
  <si>
    <t>Kesilecek gecikme cezaları ayrıca protesto çekmeye gerek kalmaksızın kesilebilir.</t>
  </si>
  <si>
    <t>17.3.2.teminat yükümlülüklerini yerine getirmemesi halinde, allacaklarından yapılan bloke ile teminat alınır, karşılamıyorsa binde 1 oranında ceza</t>
  </si>
  <si>
    <t>17.4. aykırı durumda söz konusu ise %5 ceza</t>
  </si>
  <si>
    <t>17.8 YEDAŞ'a sunması gereken bilgi belgeleri sunmadığı durumda sözleşme bedelinin binde 1 oranında ceza kesilir</t>
  </si>
  <si>
    <t>her bi teknik personel için 30 günü aşmamak kaydıyla günlük 10 bin tl ceza uygulkanır</t>
  </si>
  <si>
    <t>uygun şantiye alanı bildirmemesi durumunda 250bin tl</t>
  </si>
  <si>
    <t>5 gün içerisinde yer teslim talebinde bulunmaması durumunda 10 gün içinde ihtar çekilip yer teslimine katılması istenir. 2.defa katılmaması durumunda fesih</t>
  </si>
  <si>
    <t>çalışacağı yeri bildirmediği taktidrde 20bintl ceza</t>
  </si>
  <si>
    <t>Bilgilendirici levha bulunmaması durumunda 50 bin tl</t>
  </si>
  <si>
    <t>Müşteri şikayetinin haklı bulunması durumunda 50 bin tl</t>
  </si>
  <si>
    <t>tespit edilen uygunsuzlukların giderilmemesi durumunda her bir uygunsuzluk için 100bin tl. verilen 7 günlk sürede tamamlanmazsa x2</t>
  </si>
  <si>
    <t xml:space="preserve">3.şahıslara bilgi belge verilmesi durumunda %1 </t>
  </si>
  <si>
    <t>Madde 17.6.</t>
  </si>
  <si>
    <t>Madde 17.10</t>
  </si>
  <si>
    <t>Madde 17.18.</t>
  </si>
  <si>
    <t>Madde 17.19.</t>
  </si>
  <si>
    <t>Madde 17.21.</t>
  </si>
  <si>
    <t>Madde 17.23.</t>
  </si>
  <si>
    <t xml:space="preserve">1gün içerisinde enerjilendirme protokolü düzenlenlenmezse proje başı 10bin </t>
  </si>
  <si>
    <t>Madde 17.24.</t>
  </si>
  <si>
    <t>Madde 17.25.</t>
  </si>
  <si>
    <t>Madde 17.26</t>
  </si>
  <si>
    <t>Madde 17.27.</t>
  </si>
  <si>
    <t>Saha denetimi yapma ve numune almaya yetkilidir.Uygunsuzluk bulunursa ödemeler askıya alınır.</t>
  </si>
  <si>
    <t>uygunsuzluk 7 gün içinde giderilmez ise fesih edilir.</t>
  </si>
  <si>
    <t>Madde 17.28.</t>
  </si>
  <si>
    <t>Teshis enerjilendirilmeden yapılan kontrollerde enerjilendirilmesine engel durumlar ortadan kaldırılmadan tesis enerjilendirilmeyecek.</t>
  </si>
  <si>
    <t>FESİH</t>
  </si>
  <si>
    <t>Aykırı durumda sözleşme feshedilir.</t>
  </si>
  <si>
    <t>18.2. iş planına uyulmaz ve işi süresi içerisinde bitiremeyeceği anlaşılırsa sözleşme feshedilir</t>
  </si>
  <si>
    <t>18.3. sözleşme eki ve taahhütlerini yerine hetirmediği tespit edilirse feshedilir.</t>
  </si>
  <si>
    <t>SGK'ya bildirimde bulunacak. Vergi borcu sgk borcu personel borcu olmayacak</t>
  </si>
  <si>
    <t>Madde 18.4.</t>
  </si>
  <si>
    <t>Sözleşmenin Feshi</t>
  </si>
  <si>
    <t>18.5.Haciz kaldırılmazsa Feshedilir.</t>
  </si>
  <si>
    <t>18.5.1. yerine getirmemesi durumunda sözleşme feshedilir.</t>
  </si>
  <si>
    <t>18.8.Gerekli görülmesi hailnde herhangi bir sebep göstermeksizin sözleşme feshedilir.</t>
  </si>
  <si>
    <t>Madde 18.8.</t>
  </si>
  <si>
    <t>Madde 18.9</t>
  </si>
  <si>
    <t>sgk veya herhangi bir haciz alacaklarının kaldırılmaması durumunda</t>
  </si>
  <si>
    <t>Madde 18.10.</t>
  </si>
  <si>
    <t>YEDAŞ'ı doğrudan veya dolaylı zarara uğratması durumunda</t>
  </si>
  <si>
    <t>Mali acz içerisine bulunmadığını kanıtlaması lazım.</t>
  </si>
  <si>
    <t>Madde 18.11.</t>
  </si>
  <si>
    <t>Madde 18.12.</t>
  </si>
  <si>
    <t>SGK VE KAMU BORÇLARININ ÖDENMEDİĞİ DURUMDA İLGİLİ KANUNDA BELİRTİLEN ORANIN 2 KATI FAİZLE ALACAKLARINDAN KARŞILNIR.BİRDEN FAZLA İSE FESİH EDİLİR</t>
  </si>
  <si>
    <t>Madde 18.13.</t>
  </si>
  <si>
    <t>YEDAŞ haklı sebeple feshettiği durumda tüm teminatlar irat kaydedilir.</t>
  </si>
  <si>
    <t>Madde 18.14.</t>
  </si>
  <si>
    <t>Madde 18.15</t>
  </si>
  <si>
    <t>Sözleşme feshedildiği durumda tesisler ve araçlar iş yerinden sökülmeyecektir.</t>
  </si>
  <si>
    <t>Yüklenicinin sözleşme konusu iş ile ilgili çalıştıracağı personele ilişkin sorumlulukları </t>
  </si>
  <si>
    <t>tek taraflı fesih maddesi</t>
  </si>
  <si>
    <t>Özel Hükümler</t>
  </si>
  <si>
    <t>MADDE-9 SÖZLEŞMEYE GÖRE GERÇEKLEŞTİRİLİK</t>
  </si>
  <si>
    <t>GENEL ŞARTNAME</t>
  </si>
  <si>
    <t>Kesilecek cezaların üst limiti %10</t>
  </si>
  <si>
    <t>MADDE 11 :Anahtar teslimi götürü bedel sözleşmelerde, yapılacak işlerin  uygulama projeleri, şartnameler ve diğer teknik belgeler birlikte sözleşme hükümleri çerçevesinde yürütülür. MADDE 12 : Yüklenicinin yapacağı uygulama projeleri, hesaplar vb. sözleşme ve eklerinde belirtilen şartlara, talimatlara, esaslara, fen ve sanat kurallarına uygun olarak iş programını aksatmayacak şekilde hazırlanır ve uygulamada gerekli görülecek tüm ölçüleri ve ayrıntıları kapsar.</t>
  </si>
  <si>
    <t>İSG-Ç gereklilikleri yerine getirilir ve poliçelerini tamamlar.</t>
  </si>
  <si>
    <t>31.08.2026 tarihinde sahadaki fiziki iş bitilecek.</t>
  </si>
  <si>
    <t>MADDE 14:Sözleşmeye bağlanan her türlü bakım onarım işleri, YEDAŞ tarafından görevlendirilen proje yönetim personelinin denetimi altında,  Yüklenici tarafından yönetilir ve gerçekleştirilir.</t>
  </si>
  <si>
    <t>Yer Tesliminin Yapılması ve onaylanması</t>
  </si>
  <si>
    <t>5 gün içerisinde yer teslimi talebinde bulunur ve 10 gün içerisinde yer teslimi yapılır ve onaylanır. Yer tesliminin onaylanması durumda iş programı düzenlenir.</t>
  </si>
  <si>
    <t>Sözleşme Feshedilebilir.</t>
  </si>
  <si>
    <t>GRUP</t>
  </si>
  <si>
    <t>GELİR</t>
  </si>
  <si>
    <t>İHALE</t>
  </si>
  <si>
    <t>DİREK</t>
  </si>
  <si>
    <t>AMASYA MERKEZ BAKIM</t>
  </si>
  <si>
    <t>MERZİFON BAKIM</t>
  </si>
  <si>
    <t>ÇORUM MERKEZ BAKIM</t>
  </si>
  <si>
    <t>SUNGURLU BAKIM</t>
  </si>
  <si>
    <t>OSMANCIK BAKIM</t>
  </si>
  <si>
    <t>İSKİLİP BAKIM</t>
  </si>
  <si>
    <t>ÜNYE BAKIM</t>
  </si>
  <si>
    <t>ORDU MERKEZ BAKIM</t>
  </si>
  <si>
    <t>FATSA BAKIM</t>
  </si>
  <si>
    <t>KORGAN BAKIM</t>
  </si>
  <si>
    <t>GÖLKÖY BAKIM</t>
  </si>
  <si>
    <t>İLKADIM BAKIM</t>
  </si>
  <si>
    <t>BAFRA BAKIM</t>
  </si>
  <si>
    <t>ÇARŞAMBA BAKIM</t>
  </si>
  <si>
    <t>HAVZA BAKIM</t>
  </si>
  <si>
    <t>SAMSUN MERKEZ BAKIM</t>
  </si>
  <si>
    <t>TERME BAKIM</t>
  </si>
  <si>
    <t>VEZİRKÖPRÜ BAKIM</t>
  </si>
  <si>
    <t>SİNOP MERKEZ BAKIM</t>
  </si>
  <si>
    <t>AYANCIK BAKIM</t>
  </si>
  <si>
    <t>BOYABAT BAKIM</t>
  </si>
  <si>
    <t>EKİP SAYISI</t>
  </si>
  <si>
    <t>PROJE BAŞINA DÜŞEN DİREK SAYILARI</t>
  </si>
  <si>
    <t>PROJE SAYISI</t>
  </si>
  <si>
    <t>ŞANTİYE ŞEFİ</t>
  </si>
  <si>
    <t>KOORDİNATÖR MÜH</t>
  </si>
  <si>
    <t>EKİP AMİRİ</t>
  </si>
  <si>
    <t>İSG UZMANI</t>
  </si>
  <si>
    <t>TESİS ŞARTNAMESİ</t>
  </si>
  <si>
    <t>BAKIM ŞARTNAMESİ(1.SENARYO)</t>
  </si>
  <si>
    <t>BAKIM ŞARTNAMESİ(2.SENARYO)</t>
  </si>
  <si>
    <t>SİNAN BEY</t>
  </si>
  <si>
    <t>TALHA BEY</t>
  </si>
  <si>
    <t>UĞUR BEY</t>
  </si>
  <si>
    <t>MUSTAFA BEY</t>
  </si>
  <si>
    <t>TUNCER BEY</t>
  </si>
  <si>
    <t>ALPAY BEY</t>
  </si>
  <si>
    <t>Yer teslimi yapılır ve onaylanır</t>
  </si>
  <si>
    <t>Yüklenici de işin süresi boyunca Özel Hükümler 13. maddesinde yer alan yapılanmayı oluşturmakla yükümlüdür.</t>
  </si>
  <si>
    <t xml:space="preserve">Sözleşmenin Başlangıcı, Süresi,  İşe başlama ve bitirme tarihi </t>
  </si>
  <si>
    <t>YEDAŞ’ ın işin Yüklenici ekip ve araç/gereç eksikliğinden dolayı iş programına göre yavaş ilerlediğini tespit etmesi ve gerek görmesi halinde, Yüklenici ekip ve ekipman sayısını artıracaktır. Yüklenici bünyesinde yapacağı bu ekip ve ekipman artışından dolayı YEDAŞ’ tan fiyat farkı talep etmeyecektir. İşin süresinde bitirilmesi halinde Bakım Onarım İşleri Genel Şartnamesi hükümleri doğrultusunda kabul işlemleri yapılacaktır.</t>
  </si>
  <si>
    <t xml:space="preserve">Yüklenici, yer tesliminin yapıldığı tarihten itibaren sözleşme veya eklerinde belirlenen süre içinde, YEDAŞ tarafından verilen örneklere uygun ve sözleşmede belirtilen iş kısımları ve bitirme tarihleri ile yıllık finansman  miktarlarını da dikkate alarak hazırlayacağı; iş kalemlerini, iş gruplarını, aylık imalatı ve iş miktarlarını, (ihzarat ödemesi öngörülen birim fiyat esaslı işlerde ihzaratı), yıllık finansman dilimlerini ve bunların aylara dağılımını gösterir ayrıntılı iş programlarını (en az iki nüsha) hazırlayarak onaylanmak üzere YEDAŞ’a teslim edecektir. </t>
  </si>
  <si>
    <t>Madde 19 - Yüklenicinin üstlenmiş olduğu işin devamı süresince, iş yerinde bulunması esastır. Bununla birlikte, Yüklenici işlerin gecikmesine ve durmasına yol açmamak şartı ile noterce düzenlenmiş bir vekaletnameyle tam yetki almış ve YEDAŞ tarafından kabul edilmiş bir vekil bırakarak iş başından ayrılabilir. 
Yüklenici veya vekili iş yerinden ayrılmalarını gerektiren hallerde, proje yönetim personelinden izin almak zorundadır.</t>
  </si>
  <si>
    <t xml:space="preserve">Proje yönetim personeli, Yüklenici tarafından yapılmış olan işin eksik, hatalı ve kusurlu olduğunu veya malzemenin şartnamesine uygun olmadığını gösteren delil ve emareler gördüğü takdirde, gerek işin yapımı sırasında ve gerekse kesin kabule kadar olan sürede bu gibi eksiklerin, hataların ve kusurların incelenmesi ve tespiti için gerekli görülen yerlerin kazılmasını ve/veya yıkılıp yeniden yapılmasını Yükleniciye tebliğ eder. </t>
  </si>
  <si>
    <t>Madde 27 - İşin, sözleşmesinde belirlenen zamanda tamamlanıp geçici kabule hazır hale getirilmemesi durumunda, gecikilen her günü için sözleşmesinde öngörülen gecikme cezası uygulanır.
Sözleşmesinde belirtilen mücbir sebepler ve/veya YEDAŞ’ın sebep olduğu hallerden dolayı, işte sorumluluğu yükleniciye ait olmayan gecikmelerin meydana gelmesi halinde, durum YEDAŞ tarafından incelenerek işi engelleyici sebeplere ve yapılacak işin niteliğine göre işin bir kısmına veya tamamına ait süre uzatılır.</t>
  </si>
  <si>
    <t>Madde 33- Geçici Hakediş Raporları : Yüklenicinin yaptığı işler, metrajlara göre hesaplanarak sözleşme hükümleri uyarınca kesin ödeme niteliğinde olmamak ve kazanılmış hak sayılmamak üzere geçici hakediş raporları ile ödenir. Metrajlar, yeşil defter ve eklerinde gösterilir.Yüklenici, YEDAŞ’ın isteği halinde, kesin hesapları da proje yönetim personelinin denetimi altında işe paralel olarak  yürütmek zorundadır. Bu halde, geçici hakediş raporlarının düzenlenmesinde, bitmiş iş kısımları için kesin metrajdaki miktarlar dikkate alınır.</t>
  </si>
  <si>
    <t>Madde 33 - Geçici hakediş raporları Yüklenicinin başvurusu üzerine, sözleşme veya eklerinde aksine bir hüküm bulunmadıkça aylık periyotlar halinde [ 30(Otuz) günde bir] düzenlenir. Gelecek yıllara sari olmayan sözleşmelerde yaptırılan işler için, son hakediş raporu bütçe yılının sonuna rastlayan ayın 20(Yirmi)’nci günü düzenlenir.</t>
  </si>
  <si>
    <t xml:space="preserve">YÜKLENİCİ tarafından işin yapımında kullanılacak tüm araçlarda araç içi, önü ve arkasını kapsayacak şekilde ilgili teknik şartnameye uygun 3’lü kamera sistemi bulundurulacaktır. </t>
  </si>
  <si>
    <t>. YÜKLENİCİ, taahhüt ettiği hizmeti ve bu hizmete ilişkin her türlü personel, ekip ekipman, teçhizat, makine, malzeme, araç ve gereç ile nakliye vb. gibi unsurları sağlamak temin etmek zorundadır.</t>
  </si>
  <si>
    <t xml:space="preserve">YÜKLENİCİ üstlenmiş olduğu işin fen ve sanat kurallarına uygun olarak yapılmaması, hileli malzeme kullanılması ve benzeri nedenlerle ortaya çıkan zarar ve ziyan bakımından işin tamamından işe başlama tarihinden kesin kabul tarihine kadar sorumludur . </t>
  </si>
  <si>
    <t xml:space="preserve">Yüklenici de işin süresi boyunca Özel Hükümler 13. maddesinde yer alan yapılanmayı oluşturmakla yükümlüdür. Yüklenici, YEDAŞ Bakım Proje Yönetimi ile koordineli olacak şekilde oluşturacağı bu yapılanmadaki Elektrik Mühendisi unvanlı Şantiye Şefini YEDAŞ’ a bildirir. </t>
  </si>
  <si>
    <t>Belirtilen Anahtar Teknik personel; işin yürütülmesi ile ilgili iş vereni pozisyonunda bulunan YEDAŞ  yetkili sıralı amirlerine (Bölge Saha Kontrol Uzmanı, Genel Müdürlük Bölge Sözleşme Yöneticisi Bakım Uzmanı, Bakım Onarım Şefi, Müdür) karşı yükümlüdür.
Anahtar teknik personel; iş ahlakına uygun, gelişmiş iletişim teknikleri becerisine sahip ve toplumsal kurallara saygılı ve YEDAŞ kurumsal kültürüne uygun  davranacaktır. 
Sözleşmenin yürütülebilmesi için görevlerini ihmal etmeyecek ve ettiği durumlarda oluşabilecek zarar ve ziyandan YEDAŞ sorumlu olmayacaktır. Bahse konu hususlara riayet edilmemesi durumunda YEDAŞ 7 Gün içinde yapacağı ihtar üzerine anahtar teknik personelin görevine sözleşme kapsamında devam edilemeyeceğini talep edebilir</t>
  </si>
  <si>
    <t xml:space="preserve">YEDAŞ’ nin uğradığı tüm zararlar Yüklenici alacakları ve teminatlarından karşılanır. </t>
  </si>
  <si>
    <t>Hakediş onaylanmaz.</t>
  </si>
  <si>
    <t xml:space="preserve">Sözleşmesinin imzalanmasından sonra Yüklenicinin sözleşmede yazılı süre içinde işe başlayabilmesi için işyeri, ihale esas  proje ve mahal listesine göre; eksen kazıkları, someler, röperler vb., proje sahası, güzergah, zemin veya buna benzer yerler üzerinde kontrol edilerek YEDAŞ tarafından görevlendirilen proje yönetim personeli tarafından Yükleniciye teslim edilir ve yer teslim tutanağı düzenlenir. </t>
  </si>
  <si>
    <t>Madde 19 - Yüklenici, işin sözleşme süresi içinde bitirilmesi için, gerekli miktarda malzemeyi ve yeterli sayıda işçiyi her an iş başında bulunduracaktır. Aksi halde, bu hususta kendisini uyarmak üzere yapılacak tebligat tarihinden başlamak üzere on gün içinde bunları istenen sayıya ve miktara tamamlamak zorundadır.</t>
  </si>
  <si>
    <t>şirket prosedürlerine uygun bir şekilde çalışma alanında hazır bulunacaktır. Qdms de formu var</t>
  </si>
  <si>
    <t>klemensler için altunsoy …vb markaları istenecek</t>
  </si>
  <si>
    <t xml:space="preserve">tutarına bakılacak. Cezai durumu fiyatına bakılacak. </t>
  </si>
  <si>
    <t>trafo ve hücre devreye alınması durumunda mühendis bulundurulmazsa 100 BİN TL</t>
  </si>
  <si>
    <t>en az bir adet sepetli araç bulundurmak zorunda.</t>
  </si>
  <si>
    <t>17.7.Sahada tamamlanan işlerin 15 gün içerisinde son durum projelerinin getirilmemesi durumunda proje bedelinin %0,5(binde beş) oranında ceza uygulanır. Projeler yıl sonunda teslim edilmez ise yüzde 3'lük teminat kesintisi yapılır.</t>
  </si>
  <si>
    <t>Araçları iş başında bulundurmadığı taktirde 30 günü geçmemek şartıyla günlük 10 bin tl</t>
  </si>
  <si>
    <t xml:space="preserve">Kesinti süresinin 30 dakika – 90 dakika arasında gecikmesi durumunda 25.000 (Yirmi Beş Bin) TL, 90 dakikayı geçmesi halinde ise 100.000 (Yüz Bin) TL cezai işlem uygulanır.  </t>
  </si>
  <si>
    <t>İş programında imzaya imtina etmesi  ve düzenlemesini geciktirmesi durumunda 150bin tl,Yüklenici  yer teslim verilen ve aylık iş programında yer alan projeleri aylık iş programında belirtilen sürelerde tamamlamak zorundadır. Yüklenici kaynaklı nedenlerden dolayı  aylık iş programında belirtilen sürelerde tamalanamayan projeler bir sonraki iş programına eklenir. Bir sonraki iş programında da bitirilmediği tespit edilirse bitirilmeyen her bir proje için proje bedelinin %10’u(yüzde on) oranında cezai işlem uygulanır.</t>
  </si>
  <si>
    <t>BAKIM ŞARTNAMESİ(3.SENARYO)</t>
  </si>
  <si>
    <t>EKİP YÖNETİMİ</t>
  </si>
  <si>
    <t>Aksi takdirde başkaca bir ihtara gerek kalmaksızın, proje hakediş bedelinin %3 ü kesilecektir</t>
  </si>
  <si>
    <t>İş Programının Hazırlanması</t>
  </si>
  <si>
    <t>İş Programının Onaylanması</t>
  </si>
  <si>
    <t>İş programı  onaylanır</t>
  </si>
  <si>
    <t>MADDE 7</t>
  </si>
  <si>
    <t>MADDE 6</t>
  </si>
  <si>
    <t>X</t>
  </si>
  <si>
    <t>7.         Personel Özlük Evrakları</t>
  </si>
  <si>
    <t>7.1.      Çalışanın T.C. kimlik kartı fotokopisi</t>
  </si>
  <si>
    <t xml:space="preserve">7.2.      Çalışan için son 3 (üç) ay içerisinde alınmış adli sicil kaydı </t>
  </si>
  <si>
    <t>7.3.      Çalışanın SGK işe giriş bildirgesi</t>
  </si>
  <si>
    <t>7.4.      Çok tehlikeli işlerde çalışabileceğine dair işe giriş periyodik sağlık raporu (KVKK’ya uygun, Ek-2 formatında, işyeri hekimi onaylı) ve tetkikleri (Akciğer grafisi, solunum fonksiyon testi, odyometri, EKG, hemogram, açlık kan şekeri, AST, ALT, üre, kreatinin, TSH, kan grubu kartı, tetanoz aşı kartı ve işyeri hekimi tarafından talep edilmesi halinde ek tetkikler yaptırılacaktır.)</t>
  </si>
  <si>
    <t>7.5.      YEDAŞ Yüklenici Firma Yapım İşleri İSG-Ç Şartnamesi Madde 6.8, Tablo-2 Yüklenici eğitim matrisinde belirtilen eğitimlere uygun kayıtlar (eğitim katılım formları, sertifikalar)</t>
  </si>
  <si>
    <t>7.6.      Mesleki yeterlilik sertifikası (operatörlük belgesi, kaynakçı belgesi, ustalık belgesi, yaptığı isle ilgili diploması vb.)</t>
  </si>
  <si>
    <t>7.7.      Çalışan adına düzenlenmiş ve içeriğinde “teslim eden”, “teslim alan” kişilerin imzalarının, “teslim edilen ve teslim alınan tarihlerin”, “teslim edilen ve teslim alınan ekipmanların isimlerinin” bulunduğu ekip ve kişisel koruyucu donanım zimmet formu</t>
  </si>
  <si>
    <t xml:space="preserve">7.8.      Çalışan tarafından imzalanmış genel ve yaptığı işe özgü İSG-Ç talimat ve taahhütnamesi </t>
  </si>
  <si>
    <t>7.9.      Fazla çalışma muvafakatnamesi</t>
  </si>
  <si>
    <t>7.10.   Kişisel Verilerin Paylaşılmasına Yönelik Mutabakat Formu</t>
  </si>
  <si>
    <t>7.11.   Yüklenicinin Hizmet Alacağı Çalışanlar İçin Görevlendirme Yazısı</t>
  </si>
  <si>
    <t>7.12.   Yüklenicinin Hizmet Alacağı Firmalar ile Yapacağı Sözleşme, Protokol, Tutanak vb. (Operatör vb.)</t>
  </si>
  <si>
    <t>1.         İSG-Ç Planı</t>
  </si>
  <si>
    <t>2.         Acil Durum ve Kurtarma Planı</t>
  </si>
  <si>
    <t>3.         Kaldırma, Taşıma, İletme Planı</t>
  </si>
  <si>
    <t>4.         Eğitim Planı</t>
  </si>
  <si>
    <t>5.         Risk Değerlendirmesi ve Çevre Etki Analizi</t>
  </si>
  <si>
    <t>6.         Yöntem Bildirimi</t>
  </si>
  <si>
    <t xml:space="preserve">8.1.      Makine, ekipman listesi </t>
  </si>
  <si>
    <t>8.2.      Periyodik kontroller</t>
  </si>
  <si>
    <t>8.3.      Bakım, onarım formları (faturaları vb.)</t>
  </si>
  <si>
    <t>8.4.      Mevzuata göre yaptırılmış araç sigortaları</t>
  </si>
  <si>
    <t>9.2.      Tam zamanlı uzman görevlendirme yazısı (firma bünyesinde ise sözleşme)</t>
  </si>
  <si>
    <t>9.3.      Yüklenici Firma ile OSGB arasında yapılacak sözleşme</t>
  </si>
  <si>
    <t>9.4.      Ekip İSG-Ç sorumlusu atama yazıları</t>
  </si>
  <si>
    <t>9.5.      Yüklenici firma işveren vekili atama yazısı</t>
  </si>
  <si>
    <t>9.6.      Yüklenici firma İSG-Ç ofis personeli görevlendirme formu</t>
  </si>
  <si>
    <t>10.       Mesleki yeterlilik belgeleri ve operatörlük takip tablosu</t>
  </si>
  <si>
    <t>11.       İSG-Ç saha denetim raporları (iş güvenliği uzmanları, ekip İSG-Ç sorumlusu, işyeri hekimi, işveren/işveren vekili vb. denetim hedefleri doğrultusunda oluşturulan denetim formları)</t>
  </si>
  <si>
    <t>12.       İSG-Ç uygunsuzluk aksiyon takip tablosu</t>
  </si>
  <si>
    <t>13.       Olay araştırma raporları ve risk değerlendirme güncellemeleri</t>
  </si>
  <si>
    <t>14.       İş kazası, ramak kala durum vb. olay takip tablosu</t>
  </si>
  <si>
    <t>15.       Çalışanların isim listeleri ve fiili çalışma süreleri (görevlendirme ile gelenler dahil)</t>
  </si>
  <si>
    <t xml:space="preserve">16.       Kurul Kararları </t>
  </si>
  <si>
    <t>17.       t-2 ayı için İşyeri çalışan SGK hizmet dökümleri (t içerisinde bulunan ayı ifade edecektir)</t>
  </si>
  <si>
    <t>8.5.      İş makinesi günlük kontrol formları</t>
  </si>
  <si>
    <t>9.1.      İş güvenliği uzmanı, işyeri hekimi ve diğer sağlık personeli İSG-Kâtip atamaları (Her ay güncellenmiş haliyle)</t>
  </si>
  <si>
    <t>No</t>
  </si>
  <si>
    <t>Eğitimin Adı</t>
  </si>
  <si>
    <t>Eğitimin İçeriği</t>
  </si>
  <si>
    <t>Süre</t>
  </si>
  <si>
    <t>Katılımcı Profili</t>
  </si>
  <si>
    <t>Eğitmen</t>
  </si>
  <si>
    <t>Eğitim Dönemi</t>
  </si>
  <si>
    <t>Temel İSG-Ç Eğitimi</t>
  </si>
  <si>
    <t>*Çalışanların İş Sağlığı ve Güvenliği Eğitimleri Hakkında Yönetmelik’te belirtilen konular</t>
  </si>
  <si>
    <t>*Elektriksel Güvenlik</t>
  </si>
  <si>
    <t>*Çevre ve yol güvenliği</t>
  </si>
  <si>
    <t>* Kaldırma taşıma işlerinde güvenlik</t>
  </si>
  <si>
    <t>* Kaynak ve/veya kesme işlerinde güvenlik</t>
  </si>
  <si>
    <t>Kazı işlerinde güvenlik</t>
  </si>
  <si>
    <t>*Uygulamalı KKD kullanma eğitimi</t>
  </si>
  <si>
    <t>*Sahada karşılaşılan riskler ve önlemler</t>
  </si>
  <si>
    <t>* Trafik kuralları, güvenli sürüş teknikleri ve trafik kazaları</t>
  </si>
  <si>
    <t>12 sa</t>
  </si>
  <si>
    <t>Tüm çalışanlar</t>
  </si>
  <si>
    <t>Mevzuata uygun eğitmen</t>
  </si>
  <si>
    <t>İşe girişte (çalışan sahaya çıkmadan önce)</t>
  </si>
  <si>
    <t>İş Sağlığı Eğitimi</t>
  </si>
  <si>
    <t>*Temel ilkyardım bilgileri</t>
  </si>
  <si>
    <t>4 sa</t>
  </si>
  <si>
    <t>İşe Başlangıç (Saha Oryantasyon Eğitimi)</t>
  </si>
  <si>
    <t>*Proje alanının tanıtılması</t>
  </si>
  <si>
    <t>*Proje alanında yapılan/yapılacak işlerin tanıtılması</t>
  </si>
  <si>
    <t>*Genel proje kuralları</t>
  </si>
  <si>
    <t>*Kullanılacak KKD’ler</t>
  </si>
  <si>
    <t>*Çalışmalardan ya da çevreden kaynaklanacak tehlike ve riskler hakkında çalışanın bilgilendirilmesi</t>
  </si>
  <si>
    <t>*İş kazalarının tanımı ve iş kazalarının oluş ve önleme yolları</t>
  </si>
  <si>
    <t>*Güvenlik Kültürü, Emniyetli çalışma ve kaza önleme kuralları</t>
  </si>
  <si>
    <t>*Olası acil durumlar ve acil durumlarda personellerin sergilemesi gereken davranışlar</t>
  </si>
  <si>
    <t>2 sa</t>
  </si>
  <si>
    <t>Atanmış İş Güvenliği Uzmanı / Uzmanları</t>
  </si>
  <si>
    <t>İşe Başlama Eğitimi</t>
  </si>
  <si>
    <t>*İSG’nin önemi</t>
  </si>
  <si>
    <t>*YEDAŞ’ın İSG Vizyonu ve yüklenicilerden beklentileri</t>
  </si>
  <si>
    <t>*Ortak bir güvenlik kültürü oluşturma</t>
  </si>
  <si>
    <t>*İş yapım yöntemleri</t>
  </si>
  <si>
    <t xml:space="preserve">*Uygunsuzluk türleri ve yaptırımlar </t>
  </si>
  <si>
    <t xml:space="preserve"> Tüm çalışanlar</t>
  </si>
  <si>
    <t>Risk Değerlendirme Eğitimi</t>
  </si>
  <si>
    <t>*Tehlike-risk kavramları</t>
  </si>
  <si>
    <t>*Risk değerlendirme aşamaları</t>
  </si>
  <si>
    <t>*Risk kontrol hiyerarşisi</t>
  </si>
  <si>
    <t>*Risk değerlendirme yöntemi</t>
  </si>
  <si>
    <t>Risk Değerlendirme Ekibi Üyeleri</t>
  </si>
  <si>
    <t>İşe başlamadan önce</t>
  </si>
  <si>
    <t>Acil Durum Eğitimi</t>
  </si>
  <si>
    <t>*Acil durumların tanımı</t>
  </si>
  <si>
    <t>*Acil durum iletişimi</t>
  </si>
  <si>
    <t>*Acil durum yönetimi</t>
  </si>
  <si>
    <t>*Acil durumlarda görev, yetki ve sorumluluklar</t>
  </si>
  <si>
    <t>Acil durum ekibinde yer alan çalışanlar</t>
  </si>
  <si>
    <t>İSG-Ç Kurul Üyelerinin Eğitimi</t>
  </si>
  <si>
    <t>İSG-Ç Kurulları Hakkında Yönetmelik’te belirtilen konular</t>
  </si>
  <si>
    <t>İSG-Ç Kurul Üyeleri</t>
  </si>
  <si>
    <t>Toplanması gerektiği durumda ilk kuruldan önce</t>
  </si>
  <si>
    <t>Sertifikalı İlkyardımcı Eğitimi</t>
  </si>
  <si>
    <t>İlkyardım Yönetmeliği’nde belirtilen konular</t>
  </si>
  <si>
    <t>16 sa</t>
  </si>
  <si>
    <t>Yüksekte Çalışma Eğitimi (Teorik+Uygulamalı)</t>
  </si>
  <si>
    <t>*Demir, beton, ağaç direkte çalışma, * Merdivende çalışma</t>
  </si>
  <si>
    <t>*Yüksekte çalışmada kullanılan KKD ve ekipmanların kullanımı</t>
  </si>
  <si>
    <t>*Uygulamalı eğitim</t>
  </si>
  <si>
    <t>*Yüksekte çalışanı kurtarma eğitimi</t>
  </si>
  <si>
    <t>8 sa</t>
  </si>
  <si>
    <t>Yüksekte çalışma yapan çalışanlar</t>
  </si>
  <si>
    <t xml:space="preserve">Yüksekte Güvenli Çalışma eğitimi </t>
  </si>
  <si>
    <t>*Elektrik dağıtım sektörü yüksekte çalışma uygulamaları</t>
  </si>
  <si>
    <t>YEDAŞ tarafından uygun görülen eğitmen</t>
  </si>
  <si>
    <t>Güvenli Sürüş Teknikleri Eğitimi</t>
  </si>
  <si>
    <t>Trafikte oluşabilecek her türlü tehlike ve akabinde oluşabilecek risklere karşı güvenli sürüş uygulamaları</t>
  </si>
  <si>
    <t>Araç ve iş makinesi kullanan tüm çalışanlar</t>
  </si>
  <si>
    <t>YEDAŞ tarafından da uygun görülen eğitmen, eğitim kurumu</t>
  </si>
  <si>
    <t>İşe başladıktan sonra 30 gün içerisinde</t>
  </si>
  <si>
    <t>Sapancı-İşaretçi (Uygulamalı, Mesleki Eğitim)</t>
  </si>
  <si>
    <t>Mevzuata uygun modüldeki konular</t>
  </si>
  <si>
    <t>1 gün</t>
  </si>
  <si>
    <t>Sapanlama işi yapan çalışanlar</t>
  </si>
  <si>
    <t>Tehlikeli ve Çok Tehlikeli Sınıfta Yer Alan İşlerde Çalıştırılacakların Mesleki Eğitimlerine Dair Yönetmelik’te belirtilen kurum ve kuruluşlar</t>
  </si>
  <si>
    <t>Kaynak/kesme (Mesleki Eğitim)</t>
  </si>
  <si>
    <t>2 gün</t>
  </si>
  <si>
    <t>Kaynak ve kesme işi yapan çalışanlar</t>
  </si>
  <si>
    <t>Hijyen Eğitimi</t>
  </si>
  <si>
    <t>En az 8 sa</t>
  </si>
  <si>
    <t>Gıda hazırlama ve temizlik işlerinde görevlendirilecek çalışanlar</t>
  </si>
  <si>
    <t>Hayat Boyu Öğrenme Genel Müdürlüğü veya yetkilendirilen kuruluşlar</t>
  </si>
  <si>
    <t>Çevre bilinci ve tehlikeli atık yönetimi konusunda eğitim</t>
  </si>
  <si>
    <t>Şirket tarafından hazırlanmış çevre prosedürüne ve Çevre Mevzuatına uygun içerikte</t>
  </si>
  <si>
    <t>En az 2 sa</t>
  </si>
  <si>
    <t>Yapım Metotları</t>
  </si>
  <si>
    <t>Saha çalışmaları için hazırlanan yapım metotları</t>
  </si>
  <si>
    <t>İlgili işi yapacak çalışanlar</t>
  </si>
  <si>
    <t>Şantiye Şefi veya saha mühendisi</t>
  </si>
  <si>
    <t>Ağaç Kesme ve Boylama Eğitimi</t>
  </si>
  <si>
    <t>Ağaç Kesme ve Boylama</t>
  </si>
  <si>
    <t>İşi yapan çalışanlar</t>
  </si>
  <si>
    <t>Malzeme Kaldırma İletme Taşıma İşleri Bilgilendirme Eğitimi</t>
  </si>
  <si>
    <t>Sahada kaldırma, taşıma, iletme yapılabilecek malzemelerin güvenli kaldırılması ve taşınması için gerekli olan güvenli yöntemlerin katılımcılara aktarılması.</t>
  </si>
  <si>
    <t>En az 4 sa</t>
  </si>
  <si>
    <t>İşveren Vekili, Şantiye Şefi, Saha Mühendisleri, İSG uzmanları, Ekip İSG-Ç Sorumluları, Yüklenici yetkilileri</t>
  </si>
  <si>
    <t>Kaza/Olay Araştırma Eğitimi</t>
  </si>
  <si>
    <t>Kaza veya ramak kala olayların kök neden analizi yapılarak tekrarlarının önlenmesi, kök neden analizi için kullanılacak</t>
  </si>
  <si>
    <t>yöntemlerin aktarılması</t>
  </si>
  <si>
    <t>Kaza araştırma yöntemleri konusunda yetkin kişi veya kuruluşlar, Atanmış İş Güvenliği Uzmanı / Uzmanları</t>
  </si>
  <si>
    <t>Kültürel miras yönetimi ve rastlantısal buluntu eğitimi</t>
  </si>
  <si>
    <t>İş sırasında kültürel miras, tarihi eser, rastlantısal buluntu vb. bulunması halinde izlenecek yöntem</t>
  </si>
  <si>
    <t>30 dk</t>
  </si>
  <si>
    <t>İnsan Hakları, Toplumsal Cinsiyete Dayalı Şiddet ve</t>
  </si>
  <si>
    <t>Ayrımcılık eğitimi</t>
  </si>
  <si>
    <t>İnsan Hakları, Toplumsal Cinsiyete Dayalı Şiddet ve Ayrımcılık eğitimi</t>
  </si>
  <si>
    <t>İşveren Vekili Eğitimi</t>
  </si>
  <si>
    <t>İSG-Ç görev, yetki ve sorumluluklar dahilinde eğitim</t>
  </si>
  <si>
    <t>En az 2 saat</t>
  </si>
  <si>
    <t>İşveren Vekili</t>
  </si>
  <si>
    <t>İSG-Ç Ekip Sorumlusu</t>
  </si>
  <si>
    <t>Sahada yapılan işlere göre;</t>
  </si>
  <si>
    <t>*İş izinleri</t>
  </si>
  <si>
    <t>*Toolbox, teknik eğitim</t>
  </si>
  <si>
    <t>*Yüksekte çalışma</t>
  </si>
  <si>
    <t>*Kaza kayıtları</t>
  </si>
  <si>
    <t>*Personel özlük dosyalarının oluşturulması</t>
  </si>
  <si>
    <t xml:space="preserve">İSG-Ç Ekip Sorumluları </t>
  </si>
  <si>
    <t>İşin Devamı Sırasında İstenen Evraklar</t>
  </si>
  <si>
    <t>Hazırlayacak Sorumlu</t>
  </si>
  <si>
    <t>YÜKLENİCİ</t>
  </si>
  <si>
    <t>OSGB</t>
  </si>
  <si>
    <t>TOPLAM GÜN</t>
  </si>
  <si>
    <t>ERTELENEBİLİR</t>
  </si>
  <si>
    <t>İŞE BAŞLAMADAN ALINMASI GEREKEN EĞİTİM GÜNÜ</t>
  </si>
  <si>
    <t>SAHA EKİBİNİN ALACAĞI EĞİTİM GÜNÜ</t>
  </si>
  <si>
    <t>GÜN</t>
  </si>
  <si>
    <t>TÜM ÇALIŞANLARIN İŞE BAŞLAMADAN ALMASI GEREKEN EĞİTİMLER</t>
  </si>
  <si>
    <t>EĞİTİM KİM TARAFINDAN VERİLECEK</t>
  </si>
  <si>
    <t>SAHA DENETİMLERİ</t>
  </si>
  <si>
    <t>Yüklenici işveren/işveren vekili</t>
  </si>
  <si>
    <t>şantiye şefi</t>
  </si>
  <si>
    <t>elektrik mühendisi / mühendislerinin</t>
  </si>
  <si>
    <t>kısmi süreli işyeri hekimi</t>
  </si>
  <si>
    <t>kısmi süreli İSG-Ç uzmanı</t>
  </si>
  <si>
    <t>tam zamanlı İSG-Ç uzmanı (HER PROJE İÇİN)</t>
  </si>
  <si>
    <t>6 AYLIK PERİYOTLARLA</t>
  </si>
  <si>
    <t>MEVZUATA UYGUN EĞİTMEN</t>
  </si>
  <si>
    <t>YEDAŞ TARAFINDAN KABUL GÖRMÜŞ EĞİTMEN</t>
  </si>
  <si>
    <t>İSG UZMANI / ŞANTİYE ŞEFİ</t>
  </si>
  <si>
    <t>9.         Atama ve Görevlendirmeler</t>
  </si>
  <si>
    <t>İlkyardım Yönetmeliği’ne göre çalışanların min. %10’u (Sayı belirlenirken ekiplere göre dağılım dikkate alınmalıdır)</t>
  </si>
  <si>
    <t>YEDAŞ</t>
  </si>
  <si>
    <t xml:space="preserve">OSGB DESTEKLİ </t>
  </si>
  <si>
    <r>
      <t xml:space="preserve">Yüklenici Firma İşe Başlama Gereklilikleri                  </t>
    </r>
    <r>
      <rPr>
        <b/>
        <sz val="11"/>
        <color theme="4"/>
        <rFont val="Franklin Gothic Book"/>
        <family val="2"/>
        <charset val="162"/>
        <scheme val="minor"/>
      </rPr>
      <t>(PERSONELE İLİŞKİN BELGELER)</t>
    </r>
  </si>
  <si>
    <r>
      <t xml:space="preserve">İşe Başlama Ve Güncelleştirme Yapıldıkça Yenilenecek Evraklar    </t>
    </r>
    <r>
      <rPr>
        <b/>
        <sz val="11"/>
        <color theme="4"/>
        <rFont val="Franklin Gothic Book"/>
        <family val="2"/>
        <charset val="162"/>
        <scheme val="minor"/>
      </rPr>
      <t>(FİRMAYA İLİŞKİN BELGELER)</t>
    </r>
  </si>
  <si>
    <t xml:space="preserve">OSGB </t>
  </si>
  <si>
    <t>C SINIFI/OSGB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</si>
</sst>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quot;* #,##0_);_(&quot;$&quot;* \(#,##0\);_(&quot;$&quot;* &quot;-&quot;_);_(@_)"/>
    <numFmt numFmtId="165" formatCode="_(* #,##0_);_(* \(#,##0\);_(* &quot;-&quot;_);_(@_)"/>
    <numFmt numFmtId="166" formatCode="_(&quot;$&quot;* #,##0.00_);_(&quot;$&quot;* \(#,##0.00\);_(&quot;$&quot;* &quot;-&quot;??_);_(@_)"/>
    <numFmt numFmtId="167" formatCode="_-[$₺-41F]* #,##0_-;\-[$₺-41F]* #,##0_-;_-[$₺-41F]* &quot;-&quot;??_-;_-@_-"/>
  </numFmts>
  <fonts count="51" x14ac:knownFonts="1">
    <font>
      <sz val="11"/>
      <color theme="1"/>
      <name val="Franklin Gothic Book"/>
      <family val="2"/>
      <scheme val="minor"/>
    </font>
    <font>
      <sz val="11"/>
      <color theme="1"/>
      <name val="Franklin Gothic Book"/>
      <family val="2"/>
      <scheme val="minor"/>
    </font>
    <font>
      <sz val="11"/>
      <color theme="0"/>
      <name val="Franklin Gothic Book"/>
      <family val="2"/>
      <scheme val="minor"/>
    </font>
    <font>
      <b/>
      <sz val="12"/>
      <color theme="0"/>
      <name val="Franklin Gothic Book"/>
      <family val="2"/>
      <scheme val="minor"/>
    </font>
    <font>
      <b/>
      <sz val="18"/>
      <color theme="8"/>
      <name val="Franklin Gothic Book"/>
      <family val="2"/>
      <scheme val="minor"/>
    </font>
    <font>
      <b/>
      <sz val="12"/>
      <color theme="8"/>
      <name val="Franklin Gothic Book"/>
      <family val="2"/>
      <scheme val="minor"/>
    </font>
    <font>
      <sz val="11"/>
      <color theme="8" tint="0.79998168889431442"/>
      <name val="Franklin Gothic Book"/>
      <family val="2"/>
      <scheme val="minor"/>
    </font>
    <font>
      <sz val="18"/>
      <color theme="3"/>
      <name val="Franklin Gothic Medium"/>
      <family val="2"/>
      <scheme val="major"/>
    </font>
    <font>
      <b/>
      <sz val="11"/>
      <color theme="3"/>
      <name val="Franklin Gothic Book"/>
      <family val="2"/>
      <scheme val="minor"/>
    </font>
    <font>
      <sz val="11"/>
      <color rgb="FF006100"/>
      <name val="Franklin Gothic Book"/>
      <family val="2"/>
      <scheme val="minor"/>
    </font>
    <font>
      <sz val="11"/>
      <color rgb="FF9C0006"/>
      <name val="Franklin Gothic Book"/>
      <family val="2"/>
      <scheme val="minor"/>
    </font>
    <font>
      <sz val="11"/>
      <color rgb="FF9C5700"/>
      <name val="Franklin Gothic Book"/>
      <family val="2"/>
      <scheme val="minor"/>
    </font>
    <font>
      <sz val="11"/>
      <color rgb="FF3F3F76"/>
      <name val="Franklin Gothic Book"/>
      <family val="2"/>
      <scheme val="minor"/>
    </font>
    <font>
      <b/>
      <sz val="11"/>
      <color rgb="FF3F3F3F"/>
      <name val="Franklin Gothic Book"/>
      <family val="2"/>
      <scheme val="minor"/>
    </font>
    <font>
      <b/>
      <sz val="11"/>
      <color rgb="FFFA7D00"/>
      <name val="Franklin Gothic Book"/>
      <family val="2"/>
      <scheme val="minor"/>
    </font>
    <font>
      <sz val="11"/>
      <color rgb="FFFA7D00"/>
      <name val="Franklin Gothic Book"/>
      <family val="2"/>
      <scheme val="minor"/>
    </font>
    <font>
      <b/>
      <sz val="11"/>
      <color theme="0"/>
      <name val="Franklin Gothic Book"/>
      <family val="2"/>
      <scheme val="minor"/>
    </font>
    <font>
      <sz val="11"/>
      <color rgb="FFFF0000"/>
      <name val="Franklin Gothic Book"/>
      <family val="2"/>
      <scheme val="minor"/>
    </font>
    <font>
      <i/>
      <sz val="11"/>
      <color rgb="FF7F7F7F"/>
      <name val="Franklin Gothic Book"/>
      <family val="2"/>
      <scheme val="minor"/>
    </font>
    <font>
      <b/>
      <sz val="11"/>
      <color theme="1"/>
      <name val="Franklin Gothic Book"/>
      <family val="2"/>
      <scheme val="minor"/>
    </font>
    <font>
      <sz val="8"/>
      <name val="Franklin Gothic Book"/>
      <family val="2"/>
      <scheme val="minor"/>
    </font>
    <font>
      <b/>
      <sz val="11"/>
      <color theme="0"/>
      <name val="Franklin Gothic Book"/>
      <family val="2"/>
      <charset val="162"/>
      <scheme val="minor"/>
    </font>
    <font>
      <sz val="11"/>
      <name val="Franklin Gothic Book"/>
      <family val="2"/>
      <scheme val="minor"/>
    </font>
    <font>
      <b/>
      <sz val="11"/>
      <color theme="1"/>
      <name val="Franklin Gothic Book"/>
      <family val="2"/>
      <charset val="162"/>
      <scheme val="minor"/>
    </font>
    <font>
      <sz val="16"/>
      <color theme="0"/>
      <name val="Franklin Gothic Book"/>
      <family val="2"/>
      <scheme val="minor"/>
    </font>
    <font>
      <sz val="12"/>
      <color theme="1"/>
      <name val="Franklin Gothic Book"/>
      <family val="2"/>
      <scheme val="minor"/>
    </font>
    <font>
      <b/>
      <i/>
      <sz val="11"/>
      <color theme="1"/>
      <name val="Franklin Gothic Book"/>
      <family val="2"/>
      <charset val="162"/>
      <scheme val="minor"/>
    </font>
    <font>
      <b/>
      <i/>
      <sz val="11"/>
      <name val="Franklin Gothic Book"/>
      <family val="2"/>
      <charset val="162"/>
      <scheme val="minor"/>
    </font>
    <font>
      <i/>
      <sz val="11"/>
      <name val="Franklin Gothic Book"/>
      <family val="2"/>
      <charset val="162"/>
      <scheme val="minor"/>
    </font>
    <font>
      <i/>
      <sz val="11"/>
      <color theme="1"/>
      <name val="Franklin Gothic Book"/>
      <family val="2"/>
      <charset val="162"/>
      <scheme val="minor"/>
    </font>
    <font>
      <sz val="10"/>
      <name val="Arial"/>
      <family val="2"/>
      <charset val="162"/>
    </font>
    <font>
      <sz val="14"/>
      <color theme="1"/>
      <name val="Times New Roman"/>
      <family val="1"/>
      <charset val="162"/>
    </font>
    <font>
      <b/>
      <sz val="16"/>
      <color theme="0"/>
      <name val="Times New Roman"/>
      <family val="1"/>
      <charset val="162"/>
    </font>
    <font>
      <b/>
      <sz val="14"/>
      <color theme="1"/>
      <name val="Times New Roman"/>
      <family val="1"/>
      <charset val="162"/>
    </font>
    <font>
      <sz val="11"/>
      <color theme="3" tint="-0.249977111117893"/>
      <name val="Franklin Gothic Book"/>
      <family val="2"/>
      <scheme val="minor"/>
    </font>
    <font>
      <sz val="16"/>
      <color theme="1"/>
      <name val="Times New Roman"/>
      <family val="1"/>
      <charset val="162"/>
    </font>
    <font>
      <b/>
      <sz val="16"/>
      <color theme="1"/>
      <name val="Times New Roman"/>
      <family val="1"/>
      <charset val="162"/>
    </font>
    <font>
      <sz val="16"/>
      <color theme="1"/>
      <name val="Franklin Gothic Book"/>
      <family val="2"/>
      <charset val="162"/>
      <scheme val="minor"/>
    </font>
    <font>
      <sz val="16"/>
      <color theme="1"/>
      <name val="Franklin Gothic Book"/>
      <family val="2"/>
      <scheme val="minor"/>
    </font>
    <font>
      <b/>
      <sz val="16"/>
      <color theme="0"/>
      <name val="Franklin Gothic Book"/>
      <family val="2"/>
      <charset val="162"/>
      <scheme val="minor"/>
    </font>
    <font>
      <b/>
      <sz val="16"/>
      <color theme="1"/>
      <name val="Calibri"/>
      <family val="2"/>
      <charset val="162"/>
    </font>
    <font>
      <sz val="16"/>
      <name val="Times New Roman"/>
      <family val="1"/>
      <charset val="162"/>
    </font>
    <font>
      <b/>
      <sz val="16"/>
      <color theme="3" tint="-0.249977111117893"/>
      <name val="Times New Roman"/>
      <family val="1"/>
      <charset val="162"/>
    </font>
    <font>
      <sz val="16"/>
      <color theme="3" tint="-0.249977111117893"/>
      <name val="Times New Roman"/>
      <family val="1"/>
      <charset val="162"/>
    </font>
    <font>
      <sz val="16"/>
      <color theme="3" tint="-0.249977111117893"/>
      <name val="Franklin Gothic Book"/>
      <family val="2"/>
      <charset val="162"/>
      <scheme val="minor"/>
    </font>
    <font>
      <sz val="16"/>
      <color theme="3" tint="-0.249977111117893"/>
      <name val="Franklin Gothic Book"/>
      <family val="2"/>
      <scheme val="minor"/>
    </font>
    <font>
      <b/>
      <sz val="16"/>
      <color theme="1"/>
      <name val="Franklin Gothic Book"/>
      <family val="2"/>
      <charset val="162"/>
      <scheme val="minor"/>
    </font>
    <font>
      <sz val="10"/>
      <color theme="1"/>
      <name val="Arial"/>
      <family val="2"/>
      <charset val="162"/>
    </font>
    <font>
      <b/>
      <sz val="9"/>
      <color rgb="FF000000"/>
      <name val="Arial"/>
      <family val="2"/>
      <charset val="162"/>
    </font>
    <font>
      <sz val="9"/>
      <color rgb="FF000000"/>
      <name val="Arial"/>
      <family val="2"/>
      <charset val="162"/>
    </font>
    <font>
      <b/>
      <sz val="11"/>
      <color theme="4"/>
      <name val="Franklin Gothic Book"/>
      <family val="2"/>
      <charset val="162"/>
      <scheme val="minor"/>
    </font>
  </fonts>
  <fills count="52">
    <fill>
      <patternFill patternType="none"/>
    </fill>
    <fill>
      <patternFill patternType="gray125"/>
    </fill>
    <fill>
      <patternFill patternType="solid">
        <fgColor theme="8" tint="0.79998168889431442"/>
        <bgColor indexed="64"/>
      </patternFill>
    </fill>
    <fill>
      <patternFill patternType="solid">
        <fgColor theme="8" tint="-0.24994659260841701"/>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rgb="FF002060"/>
        <bgColor indexed="64"/>
      </patternFill>
    </fill>
    <fill>
      <patternFill patternType="solid">
        <fgColor theme="1" tint="0.499984740745262"/>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A2CF89"/>
        <bgColor indexed="64"/>
      </patternFill>
    </fill>
    <fill>
      <patternFill patternType="solid">
        <fgColor theme="7" tint="0.59999389629810485"/>
        <bgColor indexed="64"/>
      </patternFill>
    </fill>
    <fill>
      <patternFill patternType="solid">
        <fgColor rgb="FFFF0000"/>
        <bgColor indexed="64"/>
      </patternFill>
    </fill>
    <fill>
      <patternFill patternType="solid">
        <fgColor theme="1" tint="4.9989318521683403E-2"/>
        <bgColor indexed="64"/>
      </patternFill>
    </fill>
    <fill>
      <patternFill patternType="solid">
        <fgColor rgb="FF00B050"/>
        <bgColor indexed="64"/>
      </patternFill>
    </fill>
    <fill>
      <patternFill patternType="solid">
        <fgColor rgb="FF92D050"/>
        <bgColor indexed="64"/>
      </patternFill>
    </fill>
    <fill>
      <patternFill patternType="solid">
        <fgColor rgb="FFC6D8F0"/>
        <bgColor indexed="64"/>
      </patternFill>
    </fill>
    <fill>
      <patternFill patternType="solid">
        <fgColor theme="7"/>
        <bgColor indexed="64"/>
      </patternFill>
    </fill>
  </fills>
  <borders count="71">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ck">
        <color auto="1"/>
      </left>
      <right/>
      <top/>
      <bottom/>
      <diagonal/>
    </border>
    <border>
      <left style="thick">
        <color auto="1"/>
      </left>
      <right style="thick">
        <color auto="1"/>
      </right>
      <top/>
      <bottom style="thick">
        <color rgb="FFFF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style="thin">
        <color indexed="64"/>
      </bottom>
      <diagonal/>
    </border>
    <border>
      <left/>
      <right style="thick">
        <color auto="1"/>
      </right>
      <top/>
      <bottom/>
      <diagonal/>
    </border>
    <border>
      <left style="thick">
        <color auto="1"/>
      </left>
      <right/>
      <top/>
      <bottom style="thick">
        <color rgb="FFFF0000"/>
      </bottom>
      <diagonal/>
    </border>
    <border>
      <left style="thick">
        <color auto="1"/>
      </left>
      <right style="thick">
        <color auto="1"/>
      </right>
      <top/>
      <bottom/>
      <diagonal/>
    </border>
    <border>
      <left/>
      <right/>
      <top/>
      <bottom style="thick">
        <color rgb="FFFF0000"/>
      </bottom>
      <diagonal/>
    </border>
    <border>
      <left/>
      <right/>
      <top/>
      <bottom style="thin">
        <color theme="0"/>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style="thin">
        <color theme="0"/>
      </left>
      <right/>
      <top/>
      <bottom style="thin">
        <color theme="0"/>
      </bottom>
      <diagonal/>
    </border>
    <border diagonalUp="1" diagonalDown="1">
      <left style="mediumDashed">
        <color rgb="FFFFC000"/>
      </left>
      <right style="mediumDashed">
        <color rgb="FFFFC000"/>
      </right>
      <top style="mediumDashed">
        <color rgb="FFFFC000"/>
      </top>
      <bottom style="mediumDashed">
        <color rgb="FFFFC000"/>
      </bottom>
      <diagonal style="mediumDashed">
        <color rgb="FFFFC000"/>
      </diagonal>
    </border>
    <border>
      <left style="thin">
        <color auto="1"/>
      </left>
      <right/>
      <top/>
      <bottom/>
      <diagonal/>
    </border>
    <border>
      <left/>
      <right/>
      <top style="thin">
        <color auto="1"/>
      </top>
      <bottom/>
      <diagonal/>
    </border>
    <border>
      <left/>
      <right/>
      <top/>
      <bottom style="thin">
        <color indexed="64"/>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style="thin">
        <color theme="6" tint="0.39997558519241921"/>
      </right>
      <top style="thin">
        <color theme="6" tint="0.39997558519241921"/>
      </top>
      <bottom/>
      <diagonal/>
    </border>
    <border>
      <left/>
      <right style="thin">
        <color theme="6" tint="0.39997558519241921"/>
      </right>
      <top/>
      <bottom/>
      <diagonal/>
    </border>
    <border>
      <left/>
      <right style="thin">
        <color theme="6" tint="0.39997558519241921"/>
      </right>
      <top/>
      <bottom style="thin">
        <color theme="6" tint="0.39997558519241921"/>
      </bottom>
      <diagonal/>
    </border>
    <border>
      <left/>
      <right style="thin">
        <color indexed="64"/>
      </right>
      <top/>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style="thin">
        <color theme="6" tint="0.39997558519241921"/>
      </right>
      <top style="thin">
        <color theme="6" tint="0.39997558519241921"/>
      </top>
      <bottom/>
      <diagonal/>
    </border>
    <border>
      <left style="thin">
        <color theme="6" tint="0.39997558519241921"/>
      </left>
      <right style="thin">
        <color theme="6" tint="0.39997558519241921"/>
      </right>
      <top/>
      <bottom/>
      <diagonal/>
    </border>
    <border>
      <left style="thin">
        <color theme="6" tint="0.39997558519241921"/>
      </left>
      <right style="thin">
        <color theme="6" tint="0.39997558519241921"/>
      </right>
      <top/>
      <bottom style="thin">
        <color theme="6" tint="0.39997558519241921"/>
      </bottom>
      <diagonal/>
    </border>
    <border>
      <left style="medium">
        <color indexed="64"/>
      </left>
      <right style="thin">
        <color theme="6" tint="0.39997558519241921"/>
      </right>
      <top style="medium">
        <color indexed="64"/>
      </top>
      <bottom style="thin">
        <color theme="6" tint="0.39997558519241921"/>
      </bottom>
      <diagonal/>
    </border>
    <border>
      <left style="thin">
        <color theme="6" tint="0.39997558519241921"/>
      </left>
      <right style="thin">
        <color theme="6" tint="0.39997558519241921"/>
      </right>
      <top style="medium">
        <color indexed="64"/>
      </top>
      <bottom style="thin">
        <color theme="6" tint="0.39997558519241921"/>
      </bottom>
      <diagonal/>
    </border>
    <border>
      <left style="thin">
        <color theme="6" tint="0.39997558519241921"/>
      </left>
      <right style="medium">
        <color indexed="64"/>
      </right>
      <top style="medium">
        <color indexed="64"/>
      </top>
      <bottom style="thin">
        <color theme="6" tint="0.39997558519241921"/>
      </bottom>
      <diagonal/>
    </border>
    <border>
      <left style="medium">
        <color indexed="64"/>
      </left>
      <right style="thin">
        <color theme="6" tint="0.39997558519241921"/>
      </right>
      <top style="thin">
        <color theme="6" tint="0.39997558519241921"/>
      </top>
      <bottom style="medium">
        <color indexed="64"/>
      </bottom>
      <diagonal/>
    </border>
    <border>
      <left style="thin">
        <color theme="6" tint="0.39997558519241921"/>
      </left>
      <right style="thin">
        <color theme="6" tint="0.39997558519241921"/>
      </right>
      <top style="thin">
        <color theme="6" tint="0.39997558519241921"/>
      </top>
      <bottom style="medium">
        <color indexed="64"/>
      </bottom>
      <diagonal/>
    </border>
    <border>
      <left style="thin">
        <color theme="6" tint="0.39997558519241921"/>
      </left>
      <right style="medium">
        <color indexed="64"/>
      </right>
      <top style="thin">
        <color theme="6" tint="0.39997558519241921"/>
      </top>
      <bottom style="medium">
        <color indexed="64"/>
      </bottom>
      <diagonal/>
    </border>
    <border>
      <left style="medium">
        <color indexed="64"/>
      </left>
      <right style="thin">
        <color theme="6" tint="0.39997558519241921"/>
      </right>
      <top style="thin">
        <color theme="6" tint="0.39997558519241921"/>
      </top>
      <bottom style="thin">
        <color theme="6" tint="0.39997558519241921"/>
      </bottom>
      <diagonal/>
    </border>
    <border>
      <left style="thin">
        <color theme="6" tint="0.39997558519241921"/>
      </left>
      <right style="medium">
        <color indexed="64"/>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style="thin">
        <color theme="6" tint="0.39997558519241921"/>
      </left>
      <right/>
      <top/>
      <bottom/>
      <diagonal/>
    </border>
    <border>
      <left style="thin">
        <color theme="6" tint="0.39997558519241921"/>
      </left>
      <right/>
      <top/>
      <bottom style="thin">
        <color theme="6" tint="0.39997558519241921"/>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s>
  <cellStyleXfs count="53">
    <xf numFmtId="0" fontId="0" fillId="0" borderId="0"/>
    <xf numFmtId="0" fontId="4" fillId="0" borderId="0" applyNumberFormat="0" applyFill="0" applyProtection="0">
      <alignment vertical="top"/>
    </xf>
    <xf numFmtId="0" fontId="5" fillId="0" borderId="0" applyNumberFormat="0" applyFill="0" applyAlignment="0" applyProtection="0"/>
    <xf numFmtId="3" fontId="1" fillId="0" borderId="0" applyFont="0" applyFill="0" applyBorder="0" applyProtection="0">
      <alignment horizontal="center" vertical="center"/>
    </xf>
    <xf numFmtId="0" fontId="3" fillId="3" borderId="0" applyNumberFormat="0" applyProtection="0">
      <alignment horizontal="right" vertical="top" indent="1"/>
    </xf>
    <xf numFmtId="14" fontId="1" fillId="0" borderId="0" applyFont="0" applyFill="0" applyBorder="0">
      <alignment horizontal="center" vertical="center" wrapText="1"/>
    </xf>
    <xf numFmtId="0" fontId="2" fillId="0" borderId="0"/>
    <xf numFmtId="0" fontId="6" fillId="2" borderId="0">
      <alignment wrapText="1"/>
    </xf>
    <xf numFmtId="165"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5" borderId="0" applyNumberFormat="0" applyBorder="0" applyAlignment="0" applyProtection="0"/>
    <xf numFmtId="0" fontId="10" fillId="6" borderId="0" applyNumberFormat="0" applyBorder="0" applyAlignment="0" applyProtection="0"/>
    <xf numFmtId="0" fontId="11" fillId="7" borderId="0" applyNumberFormat="0" applyBorder="0" applyAlignment="0" applyProtection="0"/>
    <xf numFmtId="0" fontId="12" fillId="8" borderId="1" applyNumberFormat="0" applyAlignment="0" applyProtection="0"/>
    <xf numFmtId="0" fontId="13" fillId="9" borderId="2" applyNumberFormat="0" applyAlignment="0" applyProtection="0"/>
    <xf numFmtId="0" fontId="14" fillId="9" borderId="1" applyNumberFormat="0" applyAlignment="0" applyProtection="0"/>
    <xf numFmtId="0" fontId="15" fillId="0" borderId="3" applyNumberFormat="0" applyFill="0" applyAlignment="0" applyProtection="0"/>
    <xf numFmtId="0" fontId="16" fillId="10" borderId="4" applyNumberFormat="0" applyAlignment="0" applyProtection="0"/>
    <xf numFmtId="0" fontId="17" fillId="0" borderId="0" applyNumberFormat="0" applyFill="0" applyBorder="0" applyAlignment="0" applyProtection="0"/>
    <xf numFmtId="0" fontId="1" fillId="11" borderId="5" applyNumberFormat="0" applyFont="0" applyAlignment="0" applyProtection="0"/>
    <xf numFmtId="0" fontId="18" fillId="0" borderId="0" applyNumberFormat="0" applyFill="0" applyBorder="0" applyAlignment="0" applyProtection="0"/>
    <xf numFmtId="0" fontId="19" fillId="0" borderId="6" applyNumberFormat="0" applyFill="0" applyAlignment="0" applyProtection="0"/>
    <xf numFmtId="0" fontId="2"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30" fillId="0" borderId="0"/>
    <xf numFmtId="0" fontId="30" fillId="0" borderId="0"/>
    <xf numFmtId="0" fontId="30" fillId="0" borderId="0"/>
  </cellStyleXfs>
  <cellXfs count="319">
    <xf numFmtId="0" fontId="0" fillId="0" borderId="0" xfId="0"/>
    <xf numFmtId="0" fontId="0" fillId="0" borderId="0" xfId="0" applyAlignment="1">
      <alignment wrapText="1"/>
    </xf>
    <xf numFmtId="0" fontId="0" fillId="0" borderId="0" xfId="0" applyAlignment="1">
      <alignment horizontal="center"/>
    </xf>
    <xf numFmtId="14" fontId="0" fillId="0" borderId="0" xfId="0" applyNumberFormat="1"/>
    <xf numFmtId="1" fontId="0" fillId="0" borderId="0" xfId="0" applyNumberFormat="1"/>
    <xf numFmtId="16" fontId="0" fillId="0" borderId="0" xfId="0" applyNumberFormat="1"/>
    <xf numFmtId="16" fontId="0" fillId="0" borderId="0" xfId="0" applyNumberFormat="1" applyAlignment="1">
      <alignment horizontal="left"/>
    </xf>
    <xf numFmtId="0" fontId="0" fillId="36" borderId="0" xfId="0" applyFill="1"/>
    <xf numFmtId="0" fontId="0" fillId="0" borderId="0" xfId="0" applyFill="1"/>
    <xf numFmtId="0" fontId="0" fillId="0" borderId="0" xfId="0" applyAlignment="1">
      <alignment horizontal="left"/>
    </xf>
    <xf numFmtId="0" fontId="23" fillId="0" borderId="0" xfId="0" applyFont="1" applyFill="1" applyAlignment="1">
      <alignment horizontal="center" vertical="center"/>
    </xf>
    <xf numFmtId="0" fontId="0" fillId="0" borderId="0" xfId="0" applyFill="1" applyBorder="1" applyAlignment="1"/>
    <xf numFmtId="0" fontId="22" fillId="0" borderId="7" xfId="0" applyFont="1" applyFill="1" applyBorder="1"/>
    <xf numFmtId="0" fontId="22" fillId="42" borderId="0" xfId="0" applyFont="1" applyFill="1" applyAlignment="1">
      <alignment wrapText="1"/>
    </xf>
    <xf numFmtId="0" fontId="22" fillId="43" borderId="0" xfId="0" applyFont="1" applyFill="1" applyBorder="1"/>
    <xf numFmtId="16" fontId="28" fillId="42" borderId="0" xfId="0" applyNumberFormat="1" applyFont="1" applyFill="1" applyAlignment="1">
      <alignment horizontal="left"/>
    </xf>
    <xf numFmtId="0" fontId="27" fillId="0" borderId="22" xfId="0" applyFont="1" applyFill="1" applyBorder="1" applyAlignment="1">
      <alignment wrapText="1"/>
    </xf>
    <xf numFmtId="0" fontId="28" fillId="0" borderId="22" xfId="0" applyFont="1" applyFill="1" applyBorder="1"/>
    <xf numFmtId="0" fontId="28" fillId="0" borderId="0" xfId="0" applyFont="1" applyFill="1"/>
    <xf numFmtId="0" fontId="28" fillId="0" borderId="7" xfId="0" applyFont="1" applyFill="1" applyBorder="1"/>
    <xf numFmtId="0" fontId="28" fillId="0" borderId="20" xfId="0" applyFont="1" applyFill="1" applyBorder="1"/>
    <xf numFmtId="0" fontId="28" fillId="0" borderId="8" xfId="0" applyFont="1" applyFill="1" applyBorder="1"/>
    <xf numFmtId="0" fontId="28" fillId="0" borderId="19" xfId="0" applyFont="1" applyFill="1" applyBorder="1"/>
    <xf numFmtId="0" fontId="27" fillId="0" borderId="22" xfId="0" applyFont="1" applyFill="1" applyBorder="1" applyAlignment="1">
      <alignment vertical="top" wrapText="1"/>
    </xf>
    <xf numFmtId="0" fontId="28" fillId="0" borderId="7" xfId="0" applyFont="1" applyFill="1" applyBorder="1" applyAlignment="1">
      <alignment horizontal="center"/>
    </xf>
    <xf numFmtId="0" fontId="0" fillId="0" borderId="27" xfId="0" applyBorder="1"/>
    <xf numFmtId="15" fontId="28" fillId="44" borderId="0" xfId="0" applyNumberFormat="1" applyFont="1" applyFill="1" applyBorder="1"/>
    <xf numFmtId="0" fontId="27" fillId="0" borderId="24" xfId="0" applyFont="1" applyFill="1" applyBorder="1" applyAlignment="1">
      <alignment vertical="top" wrapText="1"/>
    </xf>
    <xf numFmtId="0" fontId="0" fillId="0" borderId="0" xfId="0" applyAlignment="1">
      <alignment horizontal="center" vertical="center"/>
    </xf>
    <xf numFmtId="0" fontId="0" fillId="0" borderId="0" xfId="0" applyAlignment="1">
      <alignment horizontal="center" vertical="center" wrapText="1"/>
    </xf>
    <xf numFmtId="0" fontId="22" fillId="40" borderId="0" xfId="0" applyFont="1" applyFill="1" applyBorder="1"/>
    <xf numFmtId="16" fontId="28" fillId="43" borderId="0" xfId="0" applyNumberFormat="1" applyFont="1" applyFill="1" applyAlignment="1">
      <alignment horizontal="right"/>
    </xf>
    <xf numFmtId="0" fontId="28" fillId="0" borderId="8" xfId="0" applyFont="1" applyFill="1" applyBorder="1" applyAlignment="1">
      <alignment horizontal="right"/>
    </xf>
    <xf numFmtId="0" fontId="0" fillId="0" borderId="0" xfId="0" applyBorder="1" applyAlignment="1">
      <alignment horizontal="center" vertical="center" wrapText="1"/>
    </xf>
    <xf numFmtId="0" fontId="0" fillId="0" borderId="32" xfId="0" applyBorder="1"/>
    <xf numFmtId="0" fontId="0" fillId="0" borderId="33" xfId="0" applyBorder="1"/>
    <xf numFmtId="0" fontId="0" fillId="0" borderId="34" xfId="0" applyBorder="1"/>
    <xf numFmtId="0" fontId="28" fillId="0" borderId="7" xfId="0" applyFont="1" applyFill="1" applyBorder="1" applyAlignment="1">
      <alignment horizontal="center" vertical="center"/>
    </xf>
    <xf numFmtId="0" fontId="23" fillId="0" borderId="0" xfId="0" applyFont="1" applyAlignment="1">
      <alignment horizontal="center" vertical="center"/>
    </xf>
    <xf numFmtId="0" fontId="23" fillId="0" borderId="0" xfId="0" applyFont="1" applyAlignment="1">
      <alignment horizontal="center" vertical="center" wrapText="1"/>
    </xf>
    <xf numFmtId="0" fontId="26" fillId="0" borderId="0" xfId="0" applyFont="1" applyAlignment="1">
      <alignment horizontal="center" vertical="center"/>
    </xf>
    <xf numFmtId="0" fontId="29" fillId="0" borderId="0" xfId="0" applyFont="1" applyAlignment="1">
      <alignment horizontal="center" vertical="center"/>
    </xf>
    <xf numFmtId="0" fontId="23" fillId="0" borderId="0" xfId="0" applyFont="1" applyFill="1" applyAlignment="1">
      <alignment horizontal="center" vertical="center" wrapText="1"/>
    </xf>
    <xf numFmtId="0" fontId="0" fillId="0" borderId="0" xfId="0" applyFill="1" applyAlignment="1">
      <alignment horizontal="center" vertical="center" wrapText="1"/>
    </xf>
    <xf numFmtId="9" fontId="0" fillId="0" borderId="0" xfId="0" applyNumberFormat="1" applyFill="1" applyAlignment="1">
      <alignment horizontal="center" vertical="center" wrapText="1"/>
    </xf>
    <xf numFmtId="0" fontId="31" fillId="45" borderId="31" xfId="0" applyFont="1" applyFill="1" applyBorder="1" applyAlignment="1">
      <alignment horizontal="center" vertical="center" wrapText="1"/>
    </xf>
    <xf numFmtId="0" fontId="23" fillId="40" borderId="0" xfId="0" applyFont="1" applyFill="1" applyAlignment="1">
      <alignment horizontal="center" vertical="center"/>
    </xf>
    <xf numFmtId="0" fontId="23" fillId="40" borderId="0" xfId="0" applyFont="1" applyFill="1" applyAlignment="1">
      <alignment horizontal="center" vertical="center" wrapText="1"/>
    </xf>
    <xf numFmtId="0" fontId="0" fillId="40" borderId="0" xfId="0" applyFill="1" applyAlignment="1">
      <alignment horizontal="left" vertical="center" wrapText="1"/>
    </xf>
    <xf numFmtId="14" fontId="0" fillId="0" borderId="0" xfId="0" applyNumberFormat="1" applyAlignment="1">
      <alignment horizontal="left"/>
    </xf>
    <xf numFmtId="14" fontId="0" fillId="0" borderId="0" xfId="0" applyNumberFormat="1" applyAlignment="1">
      <alignment horizontal="center" vertical="center"/>
    </xf>
    <xf numFmtId="0" fontId="31" fillId="45" borderId="31" xfId="0" applyFont="1" applyFill="1" applyBorder="1" applyAlignment="1">
      <alignment horizontal="center" vertical="center"/>
    </xf>
    <xf numFmtId="0" fontId="31" fillId="45" borderId="31" xfId="0" applyFont="1" applyFill="1" applyBorder="1" applyAlignment="1">
      <alignment horizontal="center" vertical="center" wrapText="1"/>
    </xf>
    <xf numFmtId="0" fontId="32" fillId="37" borderId="10" xfId="0" applyFont="1" applyFill="1" applyBorder="1" applyAlignment="1">
      <alignment horizontal="center" vertical="center" wrapText="1"/>
    </xf>
    <xf numFmtId="0" fontId="32" fillId="37" borderId="10" xfId="0" applyFont="1" applyFill="1" applyBorder="1" applyAlignment="1">
      <alignment horizontal="center" vertical="center"/>
    </xf>
    <xf numFmtId="0" fontId="33" fillId="45" borderId="31" xfId="0" applyFont="1" applyFill="1" applyBorder="1" applyAlignment="1">
      <alignment horizontal="center" vertical="center"/>
    </xf>
    <xf numFmtId="0" fontId="23" fillId="0" borderId="0" xfId="0" applyFont="1" applyBorder="1" applyAlignment="1">
      <alignment horizontal="center" vertical="center" wrapText="1"/>
    </xf>
    <xf numFmtId="0" fontId="2" fillId="0" borderId="0" xfId="0" applyFont="1" applyBorder="1" applyAlignment="1">
      <alignment horizontal="center" vertical="center" wrapText="1"/>
    </xf>
    <xf numFmtId="0" fontId="21" fillId="0" borderId="0" xfId="0" applyFont="1" applyBorder="1" applyAlignment="1">
      <alignment horizontal="center" vertical="center" wrapText="1"/>
    </xf>
    <xf numFmtId="0" fontId="34" fillId="0" borderId="0" xfId="0" applyFont="1" applyBorder="1" applyAlignment="1">
      <alignment horizontal="center" vertical="center" wrapText="1"/>
    </xf>
    <xf numFmtId="0" fontId="33" fillId="45" borderId="36" xfId="0" applyFont="1" applyFill="1" applyBorder="1" applyAlignment="1">
      <alignment horizontal="center" vertical="center"/>
    </xf>
    <xf numFmtId="0" fontId="31" fillId="45" borderId="38" xfId="0" applyFont="1" applyFill="1" applyBorder="1" applyAlignment="1">
      <alignment horizontal="center" vertical="center"/>
    </xf>
    <xf numFmtId="0" fontId="31" fillId="45" borderId="38" xfId="0" applyFont="1" applyFill="1" applyBorder="1" applyAlignment="1">
      <alignment horizontal="center" vertical="center" wrapText="1"/>
    </xf>
    <xf numFmtId="0" fontId="31" fillId="45" borderId="40" xfId="0" applyFont="1" applyFill="1" applyBorder="1" applyAlignment="1">
      <alignment horizontal="center" vertical="center" wrapText="1"/>
    </xf>
    <xf numFmtId="0" fontId="31" fillId="45" borderId="40" xfId="0" applyFont="1" applyFill="1" applyBorder="1" applyAlignment="1">
      <alignment horizontal="center" vertical="center"/>
    </xf>
    <xf numFmtId="9" fontId="31" fillId="45" borderId="42" xfId="0" applyNumberFormat="1" applyFont="1" applyFill="1" applyBorder="1" applyAlignment="1">
      <alignment horizontal="center" vertical="center" wrapText="1"/>
    </xf>
    <xf numFmtId="0" fontId="31" fillId="45" borderId="42" xfId="0" applyFont="1" applyFill="1" applyBorder="1" applyAlignment="1">
      <alignment horizontal="center" vertical="center"/>
    </xf>
    <xf numFmtId="0" fontId="31" fillId="45" borderId="43" xfId="0" applyFont="1" applyFill="1" applyBorder="1" applyAlignment="1">
      <alignment horizontal="center" vertical="center" wrapText="1"/>
    </xf>
    <xf numFmtId="0" fontId="31" fillId="45" borderId="45" xfId="0" applyFont="1" applyFill="1" applyBorder="1" applyAlignment="1">
      <alignment horizontal="center" vertical="center" wrapText="1"/>
    </xf>
    <xf numFmtId="0" fontId="31" fillId="45" borderId="45" xfId="0" applyFont="1" applyFill="1" applyBorder="1" applyAlignment="1">
      <alignment horizontal="center" vertical="center"/>
    </xf>
    <xf numFmtId="0" fontId="31" fillId="45" borderId="46" xfId="0" applyFont="1" applyFill="1" applyBorder="1" applyAlignment="1">
      <alignment horizontal="center" vertical="center"/>
    </xf>
    <xf numFmtId="0" fontId="31" fillId="45" borderId="48" xfId="0" applyFont="1" applyFill="1" applyBorder="1" applyAlignment="1">
      <alignment horizontal="center" vertical="center"/>
    </xf>
    <xf numFmtId="0" fontId="31" fillId="45" borderId="39" xfId="0" applyFont="1" applyFill="1" applyBorder="1" applyAlignment="1">
      <alignment horizontal="center" vertical="center"/>
    </xf>
    <xf numFmtId="0" fontId="31" fillId="45" borderId="39" xfId="0" applyFont="1" applyFill="1" applyBorder="1" applyAlignment="1">
      <alignment horizontal="center" vertical="center" wrapText="1"/>
    </xf>
    <xf numFmtId="0" fontId="31" fillId="45" borderId="42" xfId="0" applyFont="1" applyFill="1" applyBorder="1" applyAlignment="1">
      <alignment horizontal="center" vertical="center" wrapText="1"/>
    </xf>
    <xf numFmtId="0" fontId="31" fillId="45" borderId="48" xfId="0" applyFont="1" applyFill="1" applyBorder="1" applyAlignment="1">
      <alignment horizontal="center" vertical="center" wrapText="1"/>
    </xf>
    <xf numFmtId="0" fontId="31" fillId="45" borderId="46" xfId="0" applyFont="1" applyFill="1" applyBorder="1" applyAlignment="1">
      <alignment horizontal="center" vertical="center" wrapText="1"/>
    </xf>
    <xf numFmtId="0" fontId="31" fillId="45" borderId="43" xfId="0" applyFont="1" applyFill="1" applyBorder="1" applyAlignment="1">
      <alignment horizontal="center" vertical="center"/>
    </xf>
    <xf numFmtId="0" fontId="23" fillId="0" borderId="0" xfId="0" applyFont="1" applyAlignment="1">
      <alignment wrapText="1"/>
    </xf>
    <xf numFmtId="0" fontId="0" fillId="36" borderId="0" xfId="0" applyFill="1" applyAlignment="1">
      <alignment horizontal="center" vertical="center" wrapText="1"/>
    </xf>
    <xf numFmtId="0" fontId="0" fillId="36" borderId="0" xfId="0" applyFill="1" applyAlignment="1">
      <alignment horizontal="center" vertical="center" wrapText="1"/>
    </xf>
    <xf numFmtId="14" fontId="0" fillId="39" borderId="0" xfId="0" applyNumberFormat="1" applyFill="1"/>
    <xf numFmtId="0" fontId="0" fillId="0" borderId="0" xfId="0" applyFont="1" applyBorder="1" applyAlignment="1">
      <alignment horizontal="center" vertical="center" wrapText="1"/>
    </xf>
    <xf numFmtId="0" fontId="0" fillId="40" borderId="0" xfId="0" applyFont="1" applyFill="1" applyBorder="1" applyAlignment="1">
      <alignment horizontal="center" vertical="center" wrapText="1"/>
    </xf>
    <xf numFmtId="167" fontId="0" fillId="0" borderId="0" xfId="9" applyNumberFormat="1" applyFont="1"/>
    <xf numFmtId="14" fontId="28" fillId="4" borderId="0" xfId="0" applyNumberFormat="1" applyFont="1" applyFill="1"/>
    <xf numFmtId="2" fontId="0" fillId="0" borderId="0" xfId="0" applyNumberFormat="1"/>
    <xf numFmtId="2" fontId="0" fillId="0" borderId="0" xfId="11" applyNumberFormat="1" applyFont="1"/>
    <xf numFmtId="0" fontId="0" fillId="0" borderId="0" xfId="0" applyAlignment="1">
      <alignment horizontal="center" wrapText="1"/>
    </xf>
    <xf numFmtId="1" fontId="0" fillId="0" borderId="0" xfId="0" applyNumberFormat="1" applyAlignment="1">
      <alignment horizontal="center"/>
    </xf>
    <xf numFmtId="1" fontId="0" fillId="0" borderId="0" xfId="11" applyNumberFormat="1" applyFont="1" applyAlignment="1">
      <alignment horizontal="center" vertical="center"/>
    </xf>
    <xf numFmtId="0" fontId="0" fillId="0" borderId="0" xfId="11" applyNumberFormat="1" applyFont="1" applyAlignment="1">
      <alignment horizontal="center" vertical="center"/>
    </xf>
    <xf numFmtId="0" fontId="0" fillId="0" borderId="57" xfId="11" applyNumberFormat="1" applyFont="1" applyBorder="1" applyAlignment="1">
      <alignment horizontal="center" vertical="center"/>
    </xf>
    <xf numFmtId="0" fontId="0" fillId="0" borderId="0" xfId="11" applyNumberFormat="1" applyFont="1" applyBorder="1" applyAlignment="1">
      <alignment horizontal="center"/>
    </xf>
    <xf numFmtId="1" fontId="0" fillId="0" borderId="58" xfId="11" applyNumberFormat="1" applyFont="1" applyBorder="1" applyAlignment="1">
      <alignment horizontal="center" vertical="center"/>
    </xf>
    <xf numFmtId="0" fontId="0" fillId="0" borderId="59" xfId="11" applyNumberFormat="1" applyFont="1" applyBorder="1" applyAlignment="1">
      <alignment horizontal="center" vertical="center"/>
    </xf>
    <xf numFmtId="0" fontId="0" fillId="0" borderId="60" xfId="11" applyNumberFormat="1" applyFont="1" applyBorder="1" applyAlignment="1">
      <alignment horizontal="center"/>
    </xf>
    <xf numFmtId="1" fontId="0" fillId="0" borderId="61" xfId="11" applyNumberFormat="1" applyFont="1" applyBorder="1" applyAlignment="1">
      <alignment horizontal="center" vertical="center"/>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0" fillId="0" borderId="64" xfId="0" applyBorder="1" applyAlignment="1">
      <alignment horizontal="center" vertical="center" wrapText="1"/>
    </xf>
    <xf numFmtId="0" fontId="0" fillId="0" borderId="0" xfId="0" applyNumberFormat="1" applyAlignment="1">
      <alignment horizontal="center" vertical="center"/>
    </xf>
    <xf numFmtId="9" fontId="0" fillId="0" borderId="0" xfId="11" applyFont="1" applyAlignment="1">
      <alignment horizontal="center" vertical="center"/>
    </xf>
    <xf numFmtId="167" fontId="0" fillId="41" borderId="0" xfId="9" applyNumberFormat="1" applyFont="1" applyFill="1"/>
    <xf numFmtId="0" fontId="35" fillId="0" borderId="9" xfId="0" applyFont="1" applyFill="1" applyBorder="1" applyAlignment="1">
      <alignment horizontal="center" vertical="center" wrapText="1"/>
    </xf>
    <xf numFmtId="0" fontId="36" fillId="0" borderId="9" xfId="0" applyFont="1" applyFill="1" applyBorder="1" applyAlignment="1">
      <alignment horizontal="center" vertical="center" wrapText="1"/>
    </xf>
    <xf numFmtId="0" fontId="36" fillId="0" borderId="13" xfId="0" applyFont="1" applyFill="1" applyBorder="1" applyAlignment="1">
      <alignment horizontal="center" vertical="center" wrapText="1"/>
    </xf>
    <xf numFmtId="0" fontId="35" fillId="0" borderId="13" xfId="0" applyFont="1" applyFill="1" applyBorder="1" applyAlignment="1">
      <alignment horizontal="center" vertical="center" wrapText="1"/>
    </xf>
    <xf numFmtId="0" fontId="35" fillId="0" borderId="16" xfId="0" applyFont="1" applyFill="1" applyBorder="1" applyAlignment="1">
      <alignment horizontal="center" vertical="center" wrapText="1"/>
    </xf>
    <xf numFmtId="0" fontId="35" fillId="0" borderId="0" xfId="0" applyFont="1" applyFill="1" applyBorder="1" applyAlignment="1">
      <alignment horizontal="center" vertical="center" wrapText="1"/>
    </xf>
    <xf numFmtId="0" fontId="37" fillId="0" borderId="30" xfId="0" applyFont="1" applyFill="1" applyBorder="1" applyAlignment="1">
      <alignment horizontal="center" vertical="center" wrapText="1"/>
    </xf>
    <xf numFmtId="0" fontId="38" fillId="0" borderId="0" xfId="0" applyFont="1" applyFill="1" applyBorder="1" applyAlignment="1">
      <alignment horizontal="center" vertical="center" wrapText="1"/>
    </xf>
    <xf numFmtId="0" fontId="25" fillId="0" borderId="0" xfId="0" applyFont="1" applyBorder="1" applyAlignment="1">
      <alignment horizontal="center" vertical="center" wrapText="1"/>
    </xf>
    <xf numFmtId="0" fontId="32" fillId="48" borderId="9" xfId="0" applyFont="1" applyFill="1" applyBorder="1" applyAlignment="1">
      <alignment horizontal="center" vertical="center" wrapText="1"/>
    </xf>
    <xf numFmtId="0" fontId="32" fillId="48" borderId="10" xfId="0" applyFont="1" applyFill="1" applyBorder="1" applyAlignment="1">
      <alignment horizontal="center" vertical="center" wrapText="1"/>
    </xf>
    <xf numFmtId="0" fontId="32" fillId="46" borderId="10" xfId="0" applyFont="1" applyFill="1" applyBorder="1" applyAlignment="1">
      <alignment horizontal="center" vertical="center" wrapText="1"/>
    </xf>
    <xf numFmtId="0" fontId="39" fillId="47" borderId="10" xfId="0" applyFont="1" applyFill="1" applyBorder="1" applyAlignment="1">
      <alignment horizontal="center" vertical="center" wrapText="1"/>
    </xf>
    <xf numFmtId="0" fontId="39" fillId="38" borderId="10" xfId="0" applyFont="1" applyFill="1" applyBorder="1" applyAlignment="1">
      <alignment horizontal="center" vertical="center" wrapText="1"/>
    </xf>
    <xf numFmtId="0" fontId="40" fillId="0" borderId="11" xfId="0" applyFont="1" applyFill="1" applyBorder="1" applyAlignment="1">
      <alignment horizontal="center" vertical="center" wrapText="1"/>
    </xf>
    <xf numFmtId="0" fontId="40" fillId="38" borderId="0" xfId="0" applyFont="1" applyFill="1" applyBorder="1" applyAlignment="1">
      <alignment horizontal="center" vertical="center"/>
    </xf>
    <xf numFmtId="0" fontId="36" fillId="38" borderId="0" xfId="0" applyFont="1" applyFill="1" applyBorder="1" applyAlignment="1">
      <alignment horizontal="center" vertical="center" wrapText="1"/>
    </xf>
    <xf numFmtId="0" fontId="35" fillId="0" borderId="17" xfId="0" applyFont="1" applyFill="1" applyBorder="1" applyAlignment="1">
      <alignment horizontal="center" vertical="center" wrapText="1"/>
    </xf>
    <xf numFmtId="0" fontId="35" fillId="38" borderId="0" xfId="0" applyFont="1" applyFill="1" applyBorder="1" applyAlignment="1">
      <alignment horizontal="center" vertical="center" wrapText="1"/>
    </xf>
    <xf numFmtId="0" fontId="37" fillId="38" borderId="0" xfId="0" applyFont="1" applyFill="1" applyBorder="1" applyAlignment="1">
      <alignment horizontal="center" vertical="center" wrapText="1"/>
    </xf>
    <xf numFmtId="0" fontId="38" fillId="38" borderId="0" xfId="0" applyFont="1" applyFill="1" applyBorder="1" applyAlignment="1">
      <alignment horizontal="center" vertical="center" wrapText="1"/>
    </xf>
    <xf numFmtId="0" fontId="40" fillId="0" borderId="9" xfId="0" applyFont="1" applyFill="1" applyBorder="1" applyAlignment="1">
      <alignment horizontal="center" vertical="center" wrapText="1"/>
    </xf>
    <xf numFmtId="0" fontId="40" fillId="0" borderId="14" xfId="0" applyFont="1" applyFill="1" applyBorder="1" applyAlignment="1">
      <alignment horizontal="center" vertical="center"/>
    </xf>
    <xf numFmtId="0" fontId="40" fillId="0" borderId="14" xfId="0" applyFont="1" applyFill="1" applyBorder="1" applyAlignment="1">
      <alignment horizontal="center" vertical="center" wrapText="1"/>
    </xf>
    <xf numFmtId="0" fontId="35" fillId="0" borderId="14" xfId="0" applyFont="1" applyFill="1" applyBorder="1" applyAlignment="1">
      <alignment horizontal="center" vertical="center" wrapText="1"/>
    </xf>
    <xf numFmtId="0" fontId="35" fillId="0" borderId="28" xfId="0" applyFont="1" applyFill="1" applyBorder="1" applyAlignment="1">
      <alignment horizontal="center" vertical="center" wrapText="1"/>
    </xf>
    <xf numFmtId="0" fontId="36" fillId="0" borderId="11" xfId="0" applyFont="1" applyFill="1" applyBorder="1" applyAlignment="1">
      <alignment horizontal="center" vertical="center" wrapText="1"/>
    </xf>
    <xf numFmtId="0" fontId="35" fillId="0" borderId="12" xfId="0" applyFont="1" applyFill="1" applyBorder="1" applyAlignment="1">
      <alignment horizontal="center" vertical="center" wrapText="1"/>
    </xf>
    <xf numFmtId="0" fontId="35" fillId="0" borderId="15" xfId="0" applyFont="1" applyFill="1" applyBorder="1" applyAlignment="1">
      <alignment horizontal="center" vertical="center" wrapText="1"/>
    </xf>
    <xf numFmtId="0" fontId="37" fillId="0" borderId="52" xfId="0" applyFont="1" applyFill="1" applyBorder="1" applyAlignment="1">
      <alignment horizontal="center" vertical="center" wrapText="1"/>
    </xf>
    <xf numFmtId="0" fontId="38" fillId="0" borderId="14" xfId="0" applyFont="1" applyBorder="1" applyAlignment="1">
      <alignment horizontal="center" vertical="center" wrapText="1"/>
    </xf>
    <xf numFmtId="0" fontId="35" fillId="0" borderId="29" xfId="0" applyFont="1" applyFill="1" applyBorder="1" applyAlignment="1">
      <alignment horizontal="center" vertical="center" wrapText="1"/>
    </xf>
    <xf numFmtId="0" fontId="37" fillId="0" borderId="35" xfId="0" applyFont="1" applyFill="1" applyBorder="1" applyAlignment="1">
      <alignment horizontal="center" vertical="center" wrapText="1"/>
    </xf>
    <xf numFmtId="0" fontId="40" fillId="38" borderId="0" xfId="0" applyFont="1" applyFill="1" applyBorder="1" applyAlignment="1">
      <alignment horizontal="center" vertical="center" wrapText="1"/>
    </xf>
    <xf numFmtId="0" fontId="35" fillId="0" borderId="30" xfId="0" applyFont="1" applyFill="1" applyBorder="1" applyAlignment="1">
      <alignment horizontal="center" vertical="center" wrapText="1"/>
    </xf>
    <xf numFmtId="0" fontId="35" fillId="0" borderId="52" xfId="0" applyFont="1" applyFill="1" applyBorder="1" applyAlignment="1">
      <alignment horizontal="center" vertical="center" wrapText="1"/>
    </xf>
    <xf numFmtId="0" fontId="38" fillId="0" borderId="35" xfId="0" applyFont="1" applyBorder="1" applyAlignment="1">
      <alignment horizontal="center" vertical="center" wrapText="1"/>
    </xf>
    <xf numFmtId="0" fontId="35" fillId="0" borderId="53" xfId="0" applyFont="1" applyFill="1" applyBorder="1" applyAlignment="1">
      <alignment horizontal="center" vertical="center" wrapText="1"/>
    </xf>
    <xf numFmtId="0" fontId="37" fillId="0" borderId="10" xfId="0" applyFont="1" applyFill="1" applyBorder="1" applyAlignment="1">
      <alignment horizontal="center" vertical="center" wrapText="1"/>
    </xf>
    <xf numFmtId="0" fontId="38" fillId="0" borderId="13" xfId="0" applyFont="1" applyBorder="1" applyAlignment="1">
      <alignment horizontal="center" vertical="center" wrapText="1"/>
    </xf>
    <xf numFmtId="0" fontId="38" fillId="0" borderId="12" xfId="0" applyFont="1" applyBorder="1" applyAlignment="1">
      <alignment horizontal="center" vertical="center" wrapText="1"/>
    </xf>
    <xf numFmtId="0" fontId="36" fillId="0" borderId="10" xfId="0" applyFont="1" applyFill="1" applyBorder="1" applyAlignment="1">
      <alignment horizontal="center" vertical="center" wrapText="1"/>
    </xf>
    <xf numFmtId="0" fontId="35" fillId="0" borderId="10" xfId="0" applyFont="1" applyFill="1" applyBorder="1" applyAlignment="1">
      <alignment horizontal="center" vertical="center" wrapText="1"/>
    </xf>
    <xf numFmtId="0" fontId="38" fillId="0" borderId="52" xfId="0" applyFont="1" applyBorder="1" applyAlignment="1">
      <alignment horizontal="center" vertical="center" wrapText="1"/>
    </xf>
    <xf numFmtId="0" fontId="37" fillId="0" borderId="0" xfId="0" applyFont="1" applyFill="1" applyBorder="1" applyAlignment="1">
      <alignment horizontal="center" vertical="center" wrapText="1"/>
    </xf>
    <xf numFmtId="0" fontId="35" fillId="0" borderId="11" xfId="0" applyFont="1" applyFill="1" applyBorder="1" applyAlignment="1">
      <alignment horizontal="center" vertical="center" wrapText="1"/>
    </xf>
    <xf numFmtId="0" fontId="38" fillId="40" borderId="35" xfId="0" applyFont="1" applyFill="1" applyBorder="1" applyAlignment="1">
      <alignment horizontal="center" vertical="center" wrapText="1"/>
    </xf>
    <xf numFmtId="0" fontId="36" fillId="0" borderId="15" xfId="0" applyFont="1" applyFill="1" applyBorder="1" applyAlignment="1">
      <alignment horizontal="center" vertical="center" wrapText="1"/>
    </xf>
    <xf numFmtId="0" fontId="36" fillId="0" borderId="53" xfId="0" applyFont="1" applyFill="1" applyBorder="1" applyAlignment="1">
      <alignment horizontal="center" vertical="center" wrapText="1"/>
    </xf>
    <xf numFmtId="0" fontId="36" fillId="0" borderId="12" xfId="0" applyFont="1" applyFill="1" applyBorder="1" applyAlignment="1">
      <alignment horizontal="center" vertical="center" wrapText="1"/>
    </xf>
    <xf numFmtId="0" fontId="35" fillId="0" borderId="35" xfId="0" applyFont="1" applyFill="1" applyBorder="1" applyAlignment="1">
      <alignment horizontal="center" vertical="center" wrapText="1"/>
    </xf>
    <xf numFmtId="0" fontId="37" fillId="0" borderId="28" xfId="0" applyFont="1" applyFill="1" applyBorder="1" applyAlignment="1">
      <alignment horizontal="center" vertical="center" wrapText="1"/>
    </xf>
    <xf numFmtId="0" fontId="35" fillId="38" borderId="0" xfId="0" applyFont="1" applyFill="1" applyBorder="1" applyAlignment="1">
      <alignment vertical="center" wrapText="1"/>
    </xf>
    <xf numFmtId="0" fontId="42" fillId="38" borderId="0" xfId="0" applyFont="1" applyFill="1" applyBorder="1" applyAlignment="1">
      <alignment horizontal="center" vertical="center" wrapText="1"/>
    </xf>
    <xf numFmtId="0" fontId="43" fillId="38" borderId="0" xfId="0" applyFont="1" applyFill="1" applyBorder="1" applyAlignment="1">
      <alignment horizontal="center" vertical="center" wrapText="1"/>
    </xf>
    <xf numFmtId="0" fontId="43" fillId="38" borderId="0" xfId="0" applyFont="1" applyFill="1" applyBorder="1" applyAlignment="1">
      <alignment horizontal="justify" vertical="center"/>
    </xf>
    <xf numFmtId="0" fontId="43" fillId="0" borderId="17" xfId="0" applyFont="1" applyFill="1" applyBorder="1" applyAlignment="1">
      <alignment horizontal="center" vertical="center" wrapText="1"/>
    </xf>
    <xf numFmtId="0" fontId="44" fillId="38" borderId="0" xfId="0" applyFont="1" applyFill="1" applyBorder="1" applyAlignment="1">
      <alignment horizontal="center" vertical="center" wrapText="1"/>
    </xf>
    <xf numFmtId="0" fontId="45" fillId="38" borderId="0" xfId="0" applyFont="1" applyFill="1" applyBorder="1" applyAlignment="1">
      <alignment horizontal="center" vertical="center" wrapText="1"/>
    </xf>
    <xf numFmtId="0" fontId="43" fillId="0" borderId="12" xfId="0" applyFont="1" applyFill="1" applyBorder="1" applyAlignment="1">
      <alignment horizontal="center" vertical="center" wrapText="1"/>
    </xf>
    <xf numFmtId="0" fontId="44" fillId="0" borderId="28" xfId="0" applyFont="1" applyFill="1" applyBorder="1" applyAlignment="1">
      <alignment horizontal="center" vertical="center" wrapText="1"/>
    </xf>
    <xf numFmtId="0" fontId="42" fillId="0" borderId="12" xfId="0" applyFont="1" applyFill="1" applyBorder="1" applyAlignment="1">
      <alignment horizontal="center" vertical="center" wrapText="1"/>
    </xf>
    <xf numFmtId="0" fontId="42" fillId="0" borderId="15" xfId="0" applyFont="1" applyFill="1" applyBorder="1" applyAlignment="1">
      <alignment horizontal="center" vertical="center" wrapText="1"/>
    </xf>
    <xf numFmtId="0" fontId="42" fillId="0" borderId="17" xfId="0" applyFont="1" applyFill="1" applyBorder="1" applyAlignment="1">
      <alignment horizontal="center" vertical="center" wrapText="1"/>
    </xf>
    <xf numFmtId="0" fontId="44" fillId="0" borderId="30" xfId="0" applyFont="1" applyFill="1" applyBorder="1" applyAlignment="1">
      <alignment horizontal="center" vertical="center" wrapText="1"/>
    </xf>
    <xf numFmtId="0" fontId="44" fillId="0" borderId="17" xfId="0" applyFont="1" applyFill="1" applyBorder="1" applyAlignment="1">
      <alignment horizontal="center" vertical="center" wrapText="1"/>
    </xf>
    <xf numFmtId="0" fontId="42" fillId="0" borderId="17" xfId="0" applyFont="1" applyFill="1" applyBorder="1" applyAlignment="1">
      <alignment horizontal="center" vertical="center"/>
    </xf>
    <xf numFmtId="0" fontId="42" fillId="38" borderId="0" xfId="0" applyFont="1" applyFill="1" applyBorder="1" applyAlignment="1">
      <alignment horizontal="center" vertical="center"/>
    </xf>
    <xf numFmtId="0" fontId="43" fillId="38" borderId="0" xfId="0" applyFont="1" applyFill="1" applyBorder="1" applyAlignment="1">
      <alignment vertical="center" wrapText="1"/>
    </xf>
    <xf numFmtId="0" fontId="46" fillId="38" borderId="0" xfId="0" applyFont="1" applyFill="1" applyBorder="1" applyAlignment="1">
      <alignment horizontal="center" vertical="center" wrapText="1"/>
    </xf>
    <xf numFmtId="0" fontId="37" fillId="0" borderId="17" xfId="0" applyFont="1" applyFill="1" applyBorder="1" applyAlignment="1">
      <alignment horizontal="center" vertical="center" wrapText="1"/>
    </xf>
    <xf numFmtId="0" fontId="24" fillId="38" borderId="0" xfId="0" applyFont="1" applyFill="1" applyBorder="1" applyAlignment="1">
      <alignment horizontal="center" vertical="center" wrapText="1"/>
    </xf>
    <xf numFmtId="0" fontId="0" fillId="0" borderId="65" xfId="11" applyNumberFormat="1" applyFont="1" applyBorder="1" applyAlignment="1">
      <alignment horizontal="center"/>
    </xf>
    <xf numFmtId="0" fontId="28" fillId="0" borderId="7" xfId="0" applyFont="1" applyFill="1" applyBorder="1" applyAlignment="1">
      <alignment horizontal="center"/>
    </xf>
    <xf numFmtId="0" fontId="27" fillId="0" borderId="24" xfId="0" applyFont="1" applyFill="1" applyBorder="1" applyAlignment="1">
      <alignment horizontal="center" vertical="top" wrapText="1"/>
    </xf>
    <xf numFmtId="0" fontId="27" fillId="0" borderId="0" xfId="0" applyFont="1" applyFill="1" applyBorder="1" applyAlignment="1">
      <alignment horizontal="center" vertical="top" wrapText="1"/>
    </xf>
    <xf numFmtId="0" fontId="27" fillId="0" borderId="21" xfId="0" applyFont="1" applyFill="1" applyBorder="1" applyAlignment="1">
      <alignment horizontal="center" vertical="top" wrapText="1"/>
    </xf>
    <xf numFmtId="14" fontId="28" fillId="4" borderId="0" xfId="0" applyNumberFormat="1" applyFont="1" applyFill="1" applyAlignment="1">
      <alignment horizontal="right"/>
    </xf>
    <xf numFmtId="16" fontId="28" fillId="36" borderId="0" xfId="0" applyNumberFormat="1" applyFont="1" applyFill="1" applyAlignment="1">
      <alignment horizontal="right"/>
    </xf>
    <xf numFmtId="16" fontId="23" fillId="0" borderId="0" xfId="0" quotePrefix="1" applyNumberFormat="1" applyFont="1" applyFill="1" applyAlignment="1">
      <alignment horizontal="center" vertical="center"/>
    </xf>
    <xf numFmtId="16" fontId="23" fillId="40" borderId="0" xfId="0" quotePrefix="1" applyNumberFormat="1" applyFont="1" applyFill="1" applyAlignment="1">
      <alignment horizontal="center" vertical="center"/>
    </xf>
    <xf numFmtId="0" fontId="47" fillId="0" borderId="0" xfId="0" applyFont="1"/>
    <xf numFmtId="0" fontId="0" fillId="0" borderId="0" xfId="0" applyAlignment="1"/>
    <xf numFmtId="0" fontId="48" fillId="50" borderId="66" xfId="0" applyFont="1" applyFill="1" applyBorder="1" applyAlignment="1">
      <alignment horizontal="center" vertical="center" wrapText="1"/>
    </xf>
    <xf numFmtId="0" fontId="48" fillId="50" borderId="67" xfId="0" applyFont="1" applyFill="1" applyBorder="1" applyAlignment="1">
      <alignment horizontal="center" vertical="center" wrapText="1"/>
    </xf>
    <xf numFmtId="0" fontId="48" fillId="50" borderId="67" xfId="0" applyFont="1" applyFill="1" applyBorder="1" applyAlignment="1">
      <alignment vertical="center" wrapText="1"/>
    </xf>
    <xf numFmtId="0" fontId="49" fillId="0" borderId="0" xfId="0" applyFont="1" applyAlignment="1">
      <alignment vertical="center" wrapText="1"/>
    </xf>
    <xf numFmtId="0" fontId="49" fillId="0" borderId="56" xfId="0" applyFont="1" applyBorder="1" applyAlignment="1">
      <alignment vertical="center" wrapText="1"/>
    </xf>
    <xf numFmtId="0" fontId="49" fillId="0" borderId="58" xfId="0" applyFont="1" applyBorder="1" applyAlignment="1">
      <alignment vertical="center" wrapText="1"/>
    </xf>
    <xf numFmtId="0" fontId="49" fillId="0" borderId="61" xfId="0" applyFont="1" applyBorder="1" applyAlignment="1">
      <alignment vertical="center" wrapText="1"/>
    </xf>
    <xf numFmtId="0" fontId="49" fillId="0" borderId="68" xfId="0" applyFont="1" applyBorder="1" applyAlignment="1">
      <alignment horizontal="center" vertical="center"/>
    </xf>
    <xf numFmtId="0" fontId="49" fillId="0" borderId="61" xfId="0" applyFont="1" applyBorder="1" applyAlignment="1">
      <alignment horizontal="center" vertical="center" wrapText="1"/>
    </xf>
    <xf numFmtId="0" fontId="49" fillId="0" borderId="61" xfId="0" applyFont="1" applyBorder="1" applyAlignment="1">
      <alignment vertical="center"/>
    </xf>
    <xf numFmtId="0" fontId="49" fillId="0" borderId="68" xfId="0" applyFont="1" applyBorder="1" applyAlignment="1">
      <alignment horizontal="center" vertical="center" wrapText="1"/>
    </xf>
    <xf numFmtId="0" fontId="49" fillId="0" borderId="61" xfId="0" applyFont="1" applyBorder="1" applyAlignment="1">
      <alignment horizontal="center" vertical="center"/>
    </xf>
    <xf numFmtId="0" fontId="0" fillId="36" borderId="0" xfId="0" applyFill="1" applyAlignment="1">
      <alignment horizontal="center"/>
    </xf>
    <xf numFmtId="0" fontId="49" fillId="0" borderId="70" xfId="0" applyFont="1" applyBorder="1" applyAlignment="1">
      <alignment vertical="center" wrapText="1"/>
    </xf>
    <xf numFmtId="0" fontId="49" fillId="0" borderId="68" xfId="0" applyFont="1" applyBorder="1" applyAlignment="1">
      <alignment vertical="center" wrapText="1"/>
    </xf>
    <xf numFmtId="0" fontId="49" fillId="51" borderId="68" xfId="0" applyFont="1" applyFill="1" applyBorder="1" applyAlignment="1">
      <alignment horizontal="center" vertical="center"/>
    </xf>
    <xf numFmtId="0" fontId="49" fillId="51" borderId="61" xfId="0" applyFont="1" applyFill="1" applyBorder="1" applyAlignment="1">
      <alignment vertical="center" wrapText="1"/>
    </xf>
    <xf numFmtId="0" fontId="49" fillId="51" borderId="61" xfId="0" applyFont="1" applyFill="1" applyBorder="1" applyAlignment="1">
      <alignment horizontal="center" vertical="center" wrapText="1"/>
    </xf>
    <xf numFmtId="0" fontId="49" fillId="51" borderId="58" xfId="0" applyFont="1" applyFill="1" applyBorder="1" applyAlignment="1">
      <alignment vertical="center" wrapText="1"/>
    </xf>
    <xf numFmtId="0" fontId="49" fillId="49" borderId="61" xfId="0" applyFont="1" applyFill="1" applyBorder="1" applyAlignment="1">
      <alignment horizontal="center" vertical="center"/>
    </xf>
    <xf numFmtId="0" fontId="49" fillId="49" borderId="61" xfId="0" applyFont="1" applyFill="1" applyBorder="1" applyAlignment="1">
      <alignment horizontal="center" vertical="center" wrapText="1"/>
    </xf>
    <xf numFmtId="0" fontId="49" fillId="49" borderId="64" xfId="0" applyFont="1" applyFill="1" applyBorder="1" applyAlignment="1">
      <alignment horizontal="center" vertical="center"/>
    </xf>
    <xf numFmtId="0" fontId="49" fillId="49" borderId="58" xfId="0" applyFont="1" applyFill="1" applyBorder="1" applyAlignment="1">
      <alignment horizontal="center" vertical="center" wrapText="1"/>
    </xf>
    <xf numFmtId="0" fontId="0" fillId="36" borderId="0" xfId="0" applyFill="1" applyAlignment="1">
      <alignment horizontal="left"/>
    </xf>
    <xf numFmtId="0" fontId="23" fillId="0" borderId="0" xfId="0" applyFont="1" applyFill="1" applyAlignment="1">
      <alignment vertical="center"/>
    </xf>
    <xf numFmtId="0" fontId="47" fillId="0" borderId="0" xfId="0" applyFont="1" applyAlignment="1">
      <alignment horizontal="center"/>
    </xf>
    <xf numFmtId="0" fontId="0" fillId="36" borderId="62" xfId="0" applyFill="1" applyBorder="1" applyAlignment="1">
      <alignment horizontal="left"/>
    </xf>
    <xf numFmtId="0" fontId="0" fillId="36" borderId="64" xfId="0" applyFill="1" applyBorder="1"/>
    <xf numFmtId="0" fontId="0" fillId="36" borderId="56" xfId="0" applyFill="1" applyBorder="1"/>
    <xf numFmtId="0" fontId="0" fillId="36" borderId="61" xfId="0" applyFill="1" applyBorder="1"/>
    <xf numFmtId="0" fontId="23" fillId="0" borderId="58" xfId="0" applyFont="1" applyFill="1" applyBorder="1" applyAlignment="1">
      <alignment vertical="center"/>
    </xf>
    <xf numFmtId="0" fontId="22" fillId="0" borderId="66" xfId="0" applyFont="1" applyBorder="1" applyAlignment="1">
      <alignment wrapText="1"/>
    </xf>
    <xf numFmtId="0" fontId="22" fillId="0" borderId="0" xfId="0" applyFont="1" applyFill="1" applyAlignment="1">
      <alignment horizontal="center" vertical="center" wrapText="1"/>
    </xf>
    <xf numFmtId="0" fontId="22" fillId="0" borderId="66" xfId="0" applyFont="1" applyBorder="1"/>
    <xf numFmtId="0" fontId="22" fillId="0" borderId="66" xfId="0" applyFont="1" applyFill="1" applyBorder="1" applyAlignment="1">
      <alignment horizontal="left" vertical="center" wrapText="1"/>
    </xf>
    <xf numFmtId="0" fontId="22" fillId="0" borderId="66" xfId="0" applyFont="1" applyFill="1" applyBorder="1" applyAlignment="1">
      <alignment horizontal="center" vertical="center" wrapText="1"/>
    </xf>
    <xf numFmtId="0" fontId="22" fillId="0" borderId="70" xfId="0" applyFont="1" applyFill="1" applyBorder="1" applyAlignment="1">
      <alignment horizontal="center" vertical="center" wrapText="1"/>
    </xf>
    <xf numFmtId="0" fontId="22" fillId="0" borderId="68" xfId="0" applyFont="1" applyFill="1" applyBorder="1" applyAlignment="1">
      <alignment horizontal="center" vertical="center" wrapText="1"/>
    </xf>
    <xf numFmtId="0" fontId="43" fillId="0" borderId="29" xfId="0" applyFont="1" applyFill="1" applyBorder="1" applyAlignment="1">
      <alignment horizontal="center" vertical="center" wrapText="1"/>
    </xf>
    <xf numFmtId="0" fontId="41" fillId="0" borderId="0" xfId="0" applyFont="1" applyFill="1" applyBorder="1" applyAlignment="1">
      <alignment horizontal="center" vertical="center" wrapText="1"/>
    </xf>
    <xf numFmtId="0" fontId="41" fillId="0" borderId="9" xfId="0" applyFont="1" applyFill="1" applyBorder="1" applyAlignment="1">
      <alignment horizontal="center" vertical="center" wrapText="1"/>
    </xf>
    <xf numFmtId="0" fontId="49" fillId="46" borderId="61" xfId="0" applyFont="1" applyFill="1" applyBorder="1" applyAlignment="1">
      <alignment horizontal="center" vertical="center" wrapText="1"/>
    </xf>
    <xf numFmtId="0" fontId="49" fillId="0" borderId="64" xfId="0" applyFont="1" applyBorder="1" applyAlignment="1">
      <alignment vertical="center" wrapText="1"/>
    </xf>
    <xf numFmtId="0" fontId="23" fillId="0" borderId="70" xfId="0" applyFont="1" applyFill="1" applyBorder="1" applyAlignment="1">
      <alignment horizontal="center" vertical="center" wrapText="1"/>
    </xf>
    <xf numFmtId="0" fontId="23" fillId="0" borderId="69" xfId="0" applyFont="1" applyFill="1" applyBorder="1" applyAlignment="1">
      <alignment horizontal="center" vertical="center" wrapText="1"/>
    </xf>
    <xf numFmtId="0" fontId="23" fillId="0" borderId="68" xfId="0" applyFont="1" applyFill="1" applyBorder="1" applyAlignment="1">
      <alignment horizontal="center" vertical="center" wrapText="1"/>
    </xf>
    <xf numFmtId="0" fontId="23" fillId="0" borderId="0" xfId="0" applyFont="1" applyFill="1" applyAlignment="1">
      <alignment horizontal="center" vertical="center"/>
    </xf>
    <xf numFmtId="0" fontId="23" fillId="0" borderId="0" xfId="0" applyFont="1" applyFill="1" applyAlignment="1">
      <alignment horizontal="center" vertical="center" wrapText="1"/>
    </xf>
    <xf numFmtId="0" fontId="0" fillId="36" borderId="54" xfId="0" applyFill="1" applyBorder="1" applyAlignment="1">
      <alignment horizontal="left" vertical="center"/>
    </xf>
    <xf numFmtId="0" fontId="0" fillId="36" borderId="59" xfId="0" applyFill="1" applyBorder="1" applyAlignment="1">
      <alignment horizontal="left" vertical="center"/>
    </xf>
    <xf numFmtId="0" fontId="23" fillId="0" borderId="58" xfId="0" applyFont="1" applyFill="1" applyBorder="1" applyAlignment="1">
      <alignment horizontal="center" vertical="center"/>
    </xf>
    <xf numFmtId="0" fontId="27" fillId="44" borderId="24" xfId="0" applyFont="1" applyFill="1" applyBorder="1" applyAlignment="1">
      <alignment horizontal="center" vertical="center" wrapText="1"/>
    </xf>
    <xf numFmtId="0" fontId="27" fillId="44" borderId="0" xfId="0" applyFont="1" applyFill="1" applyBorder="1" applyAlignment="1">
      <alignment horizontal="center" vertical="center" wrapText="1"/>
    </xf>
    <xf numFmtId="0" fontId="27" fillId="44" borderId="22" xfId="0" applyFont="1" applyFill="1" applyBorder="1" applyAlignment="1">
      <alignment horizontal="center" vertical="center" wrapText="1"/>
    </xf>
    <xf numFmtId="0" fontId="28" fillId="0" borderId="0" xfId="0" applyFont="1" applyFill="1" applyBorder="1" applyAlignment="1">
      <alignment horizontal="center" vertical="top" wrapText="1"/>
    </xf>
    <xf numFmtId="0" fontId="28" fillId="0" borderId="21" xfId="0" applyFont="1" applyFill="1" applyBorder="1" applyAlignment="1">
      <alignment horizontal="center" vertical="top" wrapText="1"/>
    </xf>
    <xf numFmtId="0" fontId="27" fillId="4" borderId="23" xfId="0" applyFont="1" applyFill="1" applyBorder="1" applyAlignment="1">
      <alignment horizontal="center" vertical="center"/>
    </xf>
    <xf numFmtId="0" fontId="27" fillId="4" borderId="24" xfId="0" applyFont="1" applyFill="1" applyBorder="1" applyAlignment="1">
      <alignment horizontal="center" vertical="center"/>
    </xf>
    <xf numFmtId="0" fontId="27" fillId="4" borderId="25" xfId="0" applyFont="1" applyFill="1" applyBorder="1" applyAlignment="1">
      <alignment horizontal="center" vertical="center"/>
    </xf>
    <xf numFmtId="0" fontId="27" fillId="4" borderId="0" xfId="0" applyFont="1" applyFill="1" applyBorder="1" applyAlignment="1">
      <alignment horizontal="center" vertical="center"/>
    </xf>
    <xf numFmtId="0" fontId="27" fillId="4" borderId="26" xfId="0" applyFont="1" applyFill="1" applyBorder="1" applyAlignment="1">
      <alignment horizontal="center" vertical="center"/>
    </xf>
    <xf numFmtId="0" fontId="27" fillId="4" borderId="22" xfId="0" applyFont="1" applyFill="1" applyBorder="1" applyAlignment="1">
      <alignment horizontal="center" vertical="center"/>
    </xf>
    <xf numFmtId="0" fontId="27" fillId="36" borderId="24" xfId="0" applyFont="1" applyFill="1" applyBorder="1" applyAlignment="1">
      <alignment horizontal="center" vertical="center" wrapText="1"/>
    </xf>
    <xf numFmtId="0" fontId="27" fillId="36" borderId="0" xfId="0" applyFont="1" applyFill="1" applyBorder="1" applyAlignment="1">
      <alignment horizontal="center" vertical="center" wrapText="1"/>
    </xf>
    <xf numFmtId="0" fontId="27" fillId="36" borderId="22" xfId="0" applyFont="1" applyFill="1" applyBorder="1" applyAlignment="1">
      <alignment horizontal="center" vertical="center" wrapText="1"/>
    </xf>
    <xf numFmtId="0" fontId="27" fillId="43" borderId="24" xfId="0" applyFont="1" applyFill="1" applyBorder="1" applyAlignment="1">
      <alignment horizontal="center" vertical="center" wrapText="1"/>
    </xf>
    <xf numFmtId="0" fontId="27" fillId="43" borderId="0" xfId="0" applyFont="1" applyFill="1" applyBorder="1" applyAlignment="1">
      <alignment horizontal="center" vertical="center" wrapText="1"/>
    </xf>
    <xf numFmtId="0" fontId="27" fillId="43" borderId="22" xfId="0" applyFont="1" applyFill="1" applyBorder="1" applyAlignment="1">
      <alignment horizontal="center" vertical="center" wrapText="1"/>
    </xf>
    <xf numFmtId="0" fontId="27" fillId="0" borderId="24" xfId="0" applyFont="1" applyFill="1" applyBorder="1" applyAlignment="1">
      <alignment horizontal="center" vertical="top" wrapText="1"/>
    </xf>
    <xf numFmtId="0" fontId="27" fillId="0" borderId="0" xfId="0" applyFont="1" applyFill="1" applyBorder="1" applyAlignment="1">
      <alignment horizontal="center" vertical="top" wrapText="1"/>
    </xf>
    <xf numFmtId="0" fontId="27" fillId="0" borderId="21" xfId="0" applyFont="1" applyFill="1" applyBorder="1" applyAlignment="1">
      <alignment horizontal="center" vertical="top" wrapText="1"/>
    </xf>
    <xf numFmtId="0" fontId="28" fillId="0" borderId="7" xfId="0" applyFont="1" applyFill="1" applyBorder="1" applyAlignment="1">
      <alignment horizontal="center"/>
    </xf>
    <xf numFmtId="0" fontId="28" fillId="0" borderId="18" xfId="0" applyFont="1" applyFill="1" applyBorder="1" applyAlignment="1">
      <alignment horizontal="center"/>
    </xf>
    <xf numFmtId="0" fontId="28" fillId="0" borderId="20" xfId="0" applyFont="1" applyFill="1" applyBorder="1" applyAlignment="1">
      <alignment horizontal="center" wrapText="1"/>
    </xf>
    <xf numFmtId="0" fontId="28" fillId="0" borderId="8" xfId="0" applyFont="1" applyFill="1" applyBorder="1" applyAlignment="1">
      <alignment horizontal="center" wrapText="1"/>
    </xf>
    <xf numFmtId="0" fontId="27" fillId="42" borderId="24" xfId="0" applyFont="1" applyFill="1" applyBorder="1" applyAlignment="1">
      <alignment horizontal="center" vertical="center" wrapText="1"/>
    </xf>
    <xf numFmtId="0" fontId="27" fillId="42" borderId="0" xfId="0" applyFont="1" applyFill="1" applyBorder="1" applyAlignment="1">
      <alignment horizontal="center" vertical="center" wrapText="1"/>
    </xf>
    <xf numFmtId="0" fontId="27" fillId="42" borderId="22" xfId="0" applyFont="1" applyFill="1" applyBorder="1" applyAlignment="1">
      <alignment horizontal="center" vertical="center" wrapText="1"/>
    </xf>
    <xf numFmtId="0" fontId="27" fillId="0" borderId="7" xfId="0" applyFont="1" applyFill="1" applyBorder="1" applyAlignment="1">
      <alignment horizontal="center"/>
    </xf>
    <xf numFmtId="0" fontId="27" fillId="0" borderId="18" xfId="0" applyFont="1" applyFill="1" applyBorder="1" applyAlignment="1">
      <alignment horizontal="center"/>
    </xf>
    <xf numFmtId="0" fontId="49" fillId="0" borderId="66" xfId="0" applyFont="1" applyBorder="1" applyAlignment="1">
      <alignment horizontal="center" vertical="center" wrapText="1"/>
    </xf>
    <xf numFmtId="0" fontId="49" fillId="0" borderId="69" xfId="0" applyFont="1" applyBorder="1" applyAlignment="1">
      <alignment horizontal="center" vertical="center" wrapText="1"/>
    </xf>
    <xf numFmtId="0" fontId="49" fillId="0" borderId="68" xfId="0" applyFont="1" applyBorder="1" applyAlignment="1">
      <alignment horizontal="center" vertical="center" wrapText="1"/>
    </xf>
    <xf numFmtId="0" fontId="49" fillId="0" borderId="70" xfId="0" applyFont="1" applyBorder="1" applyAlignment="1">
      <alignment horizontal="center" vertical="center"/>
    </xf>
    <xf numFmtId="0" fontId="49" fillId="0" borderId="68" xfId="0" applyFont="1" applyBorder="1" applyAlignment="1">
      <alignment horizontal="center" vertical="center"/>
    </xf>
    <xf numFmtId="0" fontId="49" fillId="0" borderId="70" xfId="0" applyFont="1" applyBorder="1" applyAlignment="1">
      <alignment vertical="center" wrapText="1"/>
    </xf>
    <xf numFmtId="0" fontId="49" fillId="0" borderId="68" xfId="0" applyFont="1" applyBorder="1" applyAlignment="1">
      <alignment vertical="center" wrapText="1"/>
    </xf>
    <xf numFmtId="0" fontId="49" fillId="0" borderId="70" xfId="0" applyFont="1" applyBorder="1" applyAlignment="1">
      <alignment horizontal="center" vertical="center" wrapText="1"/>
    </xf>
    <xf numFmtId="0" fontId="49" fillId="49" borderId="70" xfId="0" applyFont="1" applyFill="1" applyBorder="1" applyAlignment="1">
      <alignment horizontal="center" vertical="center"/>
    </xf>
    <xf numFmtId="0" fontId="49" fillId="49" borderId="68" xfId="0" applyFont="1" applyFill="1" applyBorder="1" applyAlignment="1">
      <alignment horizontal="center" vertical="center"/>
    </xf>
    <xf numFmtId="0" fontId="49" fillId="0" borderId="66" xfId="0" applyFont="1" applyBorder="1" applyAlignment="1">
      <alignment horizontal="center" vertical="center"/>
    </xf>
    <xf numFmtId="0" fontId="49" fillId="0" borderId="69" xfId="0" applyFont="1" applyBorder="1" applyAlignment="1">
      <alignment horizontal="center" vertical="center"/>
    </xf>
    <xf numFmtId="0" fontId="49" fillId="0" borderId="66" xfId="0" applyFont="1" applyBorder="1" applyAlignment="1">
      <alignment vertical="center" wrapText="1"/>
    </xf>
    <xf numFmtId="0" fontId="49" fillId="0" borderId="69" xfId="0" applyFont="1" applyBorder="1" applyAlignment="1">
      <alignment vertical="center" wrapText="1"/>
    </xf>
    <xf numFmtId="0" fontId="49" fillId="51" borderId="70" xfId="0" applyFont="1" applyFill="1" applyBorder="1" applyAlignment="1">
      <alignment horizontal="center" vertical="center" wrapText="1"/>
    </xf>
    <xf numFmtId="0" fontId="49" fillId="51" borderId="68" xfId="0" applyFont="1" applyFill="1" applyBorder="1" applyAlignment="1">
      <alignment horizontal="center" vertical="center" wrapText="1"/>
    </xf>
    <xf numFmtId="0" fontId="49" fillId="0" borderId="70" xfId="0" applyFont="1" applyBorder="1" applyAlignment="1">
      <alignment vertical="center"/>
    </xf>
    <xf numFmtId="0" fontId="49" fillId="0" borderId="68" xfId="0" applyFont="1" applyBorder="1" applyAlignment="1">
      <alignment vertical="center"/>
    </xf>
    <xf numFmtId="0" fontId="49" fillId="46" borderId="70" xfId="0" applyFont="1" applyFill="1" applyBorder="1" applyAlignment="1">
      <alignment horizontal="center" vertical="center" wrapText="1"/>
    </xf>
    <xf numFmtId="0" fontId="49" fillId="51" borderId="70" xfId="0" applyFont="1" applyFill="1" applyBorder="1" applyAlignment="1">
      <alignment horizontal="center" vertical="center"/>
    </xf>
    <xf numFmtId="0" fontId="49" fillId="51" borderId="68" xfId="0" applyFont="1" applyFill="1" applyBorder="1" applyAlignment="1">
      <alignment horizontal="center" vertical="center"/>
    </xf>
    <xf numFmtId="0" fontId="49" fillId="51" borderId="70" xfId="0" applyFont="1" applyFill="1" applyBorder="1" applyAlignment="1">
      <alignment vertical="center" wrapText="1"/>
    </xf>
    <xf numFmtId="0" fontId="49" fillId="51" borderId="68" xfId="0" applyFont="1" applyFill="1" applyBorder="1" applyAlignment="1">
      <alignment vertical="center" wrapText="1"/>
    </xf>
    <xf numFmtId="0" fontId="49" fillId="0" borderId="70" xfId="0" applyFont="1" applyBorder="1" applyAlignment="1">
      <alignment horizontal="justify" vertical="center" wrapText="1"/>
    </xf>
    <xf numFmtId="0" fontId="49" fillId="0" borderId="68" xfId="0" applyFont="1" applyBorder="1" applyAlignment="1">
      <alignment horizontal="justify" vertical="center" wrapText="1"/>
    </xf>
    <xf numFmtId="0" fontId="49" fillId="49" borderId="70" xfId="0" applyFont="1" applyFill="1" applyBorder="1" applyAlignment="1">
      <alignment horizontal="center" vertical="center" wrapText="1"/>
    </xf>
    <xf numFmtId="0" fontId="49" fillId="49" borderId="69" xfId="0" applyFont="1" applyFill="1" applyBorder="1" applyAlignment="1">
      <alignment horizontal="center" vertical="center" wrapText="1"/>
    </xf>
    <xf numFmtId="0" fontId="49" fillId="49" borderId="68" xfId="0" applyFont="1" applyFill="1" applyBorder="1" applyAlignment="1">
      <alignment horizontal="center" vertical="center" wrapText="1"/>
    </xf>
    <xf numFmtId="0" fontId="49" fillId="0" borderId="69" xfId="0" applyFont="1" applyBorder="1" applyAlignment="1">
      <alignment vertical="center"/>
    </xf>
    <xf numFmtId="0" fontId="49" fillId="49" borderId="69" xfId="0" applyFont="1" applyFill="1" applyBorder="1" applyAlignment="1">
      <alignment horizontal="center" vertical="center"/>
    </xf>
    <xf numFmtId="0" fontId="49" fillId="49" borderId="70" xfId="0" applyFont="1" applyFill="1" applyBorder="1" applyAlignment="1">
      <alignment vertical="center"/>
    </xf>
    <xf numFmtId="0" fontId="49" fillId="49" borderId="69" xfId="0" applyFont="1" applyFill="1" applyBorder="1" applyAlignment="1">
      <alignment vertical="center"/>
    </xf>
    <xf numFmtId="0" fontId="49" fillId="49" borderId="68" xfId="0" applyFont="1" applyFill="1" applyBorder="1" applyAlignment="1">
      <alignment vertical="center"/>
    </xf>
    <xf numFmtId="0" fontId="31" fillId="45" borderId="47" xfId="0" applyFont="1" applyFill="1" applyBorder="1" applyAlignment="1">
      <alignment horizontal="center" vertical="center" wrapText="1"/>
    </xf>
    <xf numFmtId="0" fontId="31" fillId="45" borderId="31" xfId="0" applyFont="1" applyFill="1" applyBorder="1" applyAlignment="1">
      <alignment horizontal="center" vertical="center" wrapText="1"/>
    </xf>
    <xf numFmtId="0" fontId="32" fillId="37" borderId="0" xfId="0" applyFont="1" applyFill="1" applyBorder="1" applyAlignment="1">
      <alignment horizontal="center" vertical="center" wrapText="1"/>
    </xf>
    <xf numFmtId="0" fontId="32" fillId="37" borderId="35" xfId="0" applyFont="1" applyFill="1" applyBorder="1" applyAlignment="1">
      <alignment horizontal="center" vertical="center" wrapText="1"/>
    </xf>
    <xf numFmtId="0" fontId="31" fillId="45" borderId="36" xfId="0" applyFont="1" applyFill="1" applyBorder="1" applyAlignment="1">
      <alignment horizontal="center" vertical="center" wrapText="1"/>
    </xf>
    <xf numFmtId="0" fontId="31" fillId="45" borderId="37" xfId="0" applyFont="1" applyFill="1" applyBorder="1" applyAlignment="1">
      <alignment horizontal="center" vertical="center" wrapText="1"/>
    </xf>
    <xf numFmtId="0" fontId="31" fillId="45" borderId="38" xfId="0" applyFont="1" applyFill="1" applyBorder="1" applyAlignment="1">
      <alignment horizontal="center" vertical="center" wrapText="1"/>
    </xf>
    <xf numFmtId="0" fontId="31" fillId="45" borderId="41" xfId="0" applyFont="1" applyFill="1" applyBorder="1" applyAlignment="1">
      <alignment horizontal="center" vertical="center" wrapText="1"/>
    </xf>
    <xf numFmtId="0" fontId="31" fillId="45" borderId="42" xfId="0" applyFont="1" applyFill="1" applyBorder="1" applyAlignment="1">
      <alignment horizontal="center" vertical="center" wrapText="1"/>
    </xf>
    <xf numFmtId="0" fontId="31" fillId="45" borderId="44" xfId="0" applyFont="1" applyFill="1" applyBorder="1" applyAlignment="1">
      <alignment horizontal="center" vertical="center" wrapText="1"/>
    </xf>
    <xf numFmtId="0" fontId="31" fillId="45" borderId="45" xfId="0" applyFont="1" applyFill="1" applyBorder="1" applyAlignment="1">
      <alignment horizontal="center" vertical="center" wrapText="1"/>
    </xf>
    <xf numFmtId="0" fontId="31" fillId="45" borderId="39" xfId="0" applyFont="1" applyFill="1" applyBorder="1" applyAlignment="1">
      <alignment horizontal="center" vertical="center" wrapText="1"/>
    </xf>
    <xf numFmtId="0" fontId="33" fillId="45" borderId="49" xfId="0" applyFont="1" applyFill="1" applyBorder="1" applyAlignment="1">
      <alignment horizontal="center" vertical="center"/>
    </xf>
    <xf numFmtId="0" fontId="33" fillId="45" borderId="50" xfId="0" applyFont="1" applyFill="1" applyBorder="1" applyAlignment="1">
      <alignment horizontal="center" vertical="center"/>
    </xf>
    <xf numFmtId="0" fontId="33" fillId="45" borderId="51" xfId="0" applyFont="1" applyFill="1" applyBorder="1" applyAlignment="1">
      <alignment horizontal="center" vertical="center"/>
    </xf>
    <xf numFmtId="0" fontId="31" fillId="45" borderId="40" xfId="0" applyFont="1" applyFill="1" applyBorder="1" applyAlignment="1">
      <alignment horizontal="center" vertical="center" wrapText="1"/>
    </xf>
    <xf numFmtId="0" fontId="0" fillId="0" borderId="54" xfId="0" applyBorder="1" applyAlignment="1">
      <alignment horizontal="center"/>
    </xf>
    <xf numFmtId="0" fontId="0" fillId="0" borderId="55" xfId="0" applyBorder="1" applyAlignment="1">
      <alignment horizontal="center"/>
    </xf>
    <xf numFmtId="0" fontId="0" fillId="0" borderId="56" xfId="0" applyBorder="1" applyAlignment="1">
      <alignment horizontal="center"/>
    </xf>
  </cellXfs>
  <cellStyles count="53">
    <cellStyle name="%20 - Vurgu1" xfId="27" builtinId="30" customBuiltin="1"/>
    <cellStyle name="%20 - Vurgu2" xfId="31" builtinId="34" customBuiltin="1"/>
    <cellStyle name="%20 - Vurgu3" xfId="35" builtinId="38" customBuiltin="1"/>
    <cellStyle name="%20 - Vurgu4" xfId="39" builtinId="42" customBuiltin="1"/>
    <cellStyle name="%20 - Vurgu5" xfId="43" builtinId="46" customBuiltin="1"/>
    <cellStyle name="%20 - Vurgu6" xfId="47" builtinId="50" customBuiltin="1"/>
    <cellStyle name="%40 - Vurgu1" xfId="28" builtinId="31" customBuiltin="1"/>
    <cellStyle name="%40 - Vurgu2" xfId="32" builtinId="35" customBuiltin="1"/>
    <cellStyle name="%40 - Vurgu3" xfId="36" builtinId="39" customBuiltin="1"/>
    <cellStyle name="%40 - Vurgu4" xfId="40" builtinId="43" customBuiltin="1"/>
    <cellStyle name="%40 - Vurgu5" xfId="44" builtinId="47" customBuiltin="1"/>
    <cellStyle name="%40 - Vurgu6" xfId="48" builtinId="51" customBuiltin="1"/>
    <cellStyle name="%60 - Vurgu1" xfId="29" builtinId="32" customBuiltin="1"/>
    <cellStyle name="%60 - Vurgu2" xfId="33" builtinId="36" customBuiltin="1"/>
    <cellStyle name="%60 - Vurgu3" xfId="37" builtinId="40" customBuiltin="1"/>
    <cellStyle name="%60 - Vurgu4" xfId="41" builtinId="44" customBuiltin="1"/>
    <cellStyle name="%60 - Vurgu5" xfId="45" builtinId="48" customBuiltin="1"/>
    <cellStyle name="%60 - Vurgu6" xfId="49" builtinId="52" customBuiltin="1"/>
    <cellStyle name="Açıklama Metni" xfId="24" builtinId="53" customBuiltin="1"/>
    <cellStyle name="Ana Başlık" xfId="12" builtinId="15" customBuiltin="1"/>
    <cellStyle name="Bağlı Hücre" xfId="20" builtinId="24" customBuiltin="1"/>
    <cellStyle name="Başlık 1" xfId="1" builtinId="16" customBuiltin="1"/>
    <cellStyle name="Başlık 2" xfId="2" builtinId="17" customBuiltin="1"/>
    <cellStyle name="Başlık 3" xfId="4" builtinId="18" customBuiltin="1"/>
    <cellStyle name="Başlık 4" xfId="13" builtinId="19" customBuiltin="1"/>
    <cellStyle name="Binlik Ayracı [0]" xfId="8" builtinId="6" customBuiltin="1"/>
    <cellStyle name="Çıkış" xfId="18" builtinId="21" customBuiltin="1"/>
    <cellStyle name="Giriş" xfId="17" builtinId="20" customBuiltin="1"/>
    <cellStyle name="Hesaplama" xfId="19" builtinId="22" customBuiltin="1"/>
    <cellStyle name="İşaretli Hücre" xfId="21" builtinId="23" customBuiltin="1"/>
    <cellStyle name="İyi" xfId="14" builtinId="26" customBuiltin="1"/>
    <cellStyle name="Kötü" xfId="15" builtinId="27" customBuiltin="1"/>
    <cellStyle name="Normal" xfId="0" builtinId="0" customBuiltin="1"/>
    <cellStyle name="Normal 2 2 2" xfId="51" xr:uid="{891186A2-615C-40DB-B2A3-97FDBD6CB9C7}"/>
    <cellStyle name="Normal 3 2" xfId="50" xr:uid="{838C5C0D-08E1-402F-8936-0D4FE99E40CB}"/>
    <cellStyle name="Normal 4" xfId="52" xr:uid="{D9516C1E-BC3C-4A47-956F-AE564121AE0E}"/>
    <cellStyle name="Not" xfId="23" builtinId="10" customBuiltin="1"/>
    <cellStyle name="Nötr" xfId="16" builtinId="28" customBuiltin="1"/>
    <cellStyle name="ParaBirimi" xfId="9" builtinId="4" customBuiltin="1"/>
    <cellStyle name="ParaBirimi [0]" xfId="10" builtinId="7" customBuiltin="1"/>
    <cellStyle name="Tarih" xfId="5" xr:uid="{00000000-0005-0000-0000-00002C000000}"/>
    <cellStyle name="Toplam" xfId="25" builtinId="25" customBuiltin="1"/>
    <cellStyle name="Uyarı Metni" xfId="22" builtinId="11" customBuiltin="1"/>
    <cellStyle name="Virgül" xfId="3" builtinId="3" customBuiltin="1"/>
    <cellStyle name="Vurgu1" xfId="26" builtinId="29" customBuiltin="1"/>
    <cellStyle name="Vurgu2" xfId="30" builtinId="33" customBuiltin="1"/>
    <cellStyle name="Vurgu3" xfId="34" builtinId="37" customBuiltin="1"/>
    <cellStyle name="Vurgu4" xfId="38" builtinId="41" customBuiltin="1"/>
    <cellStyle name="Vurgu5" xfId="42" builtinId="45" customBuiltin="1"/>
    <cellStyle name="Vurgu6" xfId="46" builtinId="49" customBuiltin="1"/>
    <cellStyle name="Yüzde" xfId="11" builtinId="5" customBuiltin="1"/>
    <cellStyle name="zGizliGrafikMetni" xfId="7" xr:uid="{00000000-0005-0000-0000-000030000000}"/>
    <cellStyle name="zGizliMetin" xfId="6" xr:uid="{00000000-0005-0000-0000-000031000000}"/>
  </cellStyles>
  <dxfs count="3">
    <dxf>
      <fill>
        <patternFill patternType="solid">
          <fgColor theme="5" tint="0.79992065187536243"/>
          <bgColor theme="8" tint="0.79998168889431442"/>
        </patternFill>
      </fill>
    </dxf>
    <dxf>
      <font>
        <color theme="8" tint="-0.499984740745262"/>
      </font>
      <border>
        <bottom style="thin">
          <color theme="8"/>
        </bottom>
      </border>
    </dxf>
    <dxf>
      <font>
        <b val="0"/>
        <i val="0"/>
        <color theme="8" tint="-0.499984740745262"/>
      </font>
      <border>
        <top style="thin">
          <color theme="8"/>
        </top>
        <bottom style="thin">
          <color theme="8"/>
        </bottom>
      </border>
    </dxf>
  </dxfs>
  <tableStyles count="1" defaultTableStyle="Ürün Yol Haritası tablo stili" defaultPivotStyle="PivotStyleLight16">
    <tableStyle name="Ürün Yol Haritası tablo stili" pivot="0" count="3" xr9:uid="{00000000-0011-0000-FFFF-FFFF00000000}">
      <tableStyleElement type="wholeTable" dxfId="2"/>
      <tableStyleElement type="headerRow" dxfId="1"/>
      <tableStyleElement type="firstRowStripe" dxfId="0"/>
    </tableStyle>
  </tableStyles>
  <colors>
    <mruColors>
      <color rgb="FFA2CF89"/>
      <color rgb="FFCDEDD0"/>
      <color rgb="FF33CC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248892</xdr:colOff>
      <xdr:row>11</xdr:row>
      <xdr:rowOff>0</xdr:rowOff>
    </xdr:from>
    <xdr:to>
      <xdr:col>9</xdr:col>
      <xdr:colOff>514231</xdr:colOff>
      <xdr:row>12</xdr:row>
      <xdr:rowOff>64070</xdr:rowOff>
    </xdr:to>
    <xdr:sp macro="" textlink="">
      <xdr:nvSpPr>
        <xdr:cNvPr id="13" name="Ok: Sağ 12">
          <a:extLst>
            <a:ext uri="{FF2B5EF4-FFF2-40B4-BE49-F238E27FC236}">
              <a16:creationId xmlns:a16="http://schemas.microsoft.com/office/drawing/2014/main" id="{00000000-0008-0000-0600-00000D000000}"/>
            </a:ext>
          </a:extLst>
        </xdr:cNvPr>
        <xdr:cNvSpPr/>
      </xdr:nvSpPr>
      <xdr:spPr>
        <a:xfrm>
          <a:off x="11726517" y="2667000"/>
          <a:ext cx="265339" cy="26409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10</xdr:col>
      <xdr:colOff>244929</xdr:colOff>
      <xdr:row>11</xdr:row>
      <xdr:rowOff>13607</xdr:rowOff>
    </xdr:from>
    <xdr:to>
      <xdr:col>10</xdr:col>
      <xdr:colOff>510268</xdr:colOff>
      <xdr:row>12</xdr:row>
      <xdr:rowOff>77677</xdr:rowOff>
    </xdr:to>
    <xdr:sp macro="" textlink="">
      <xdr:nvSpPr>
        <xdr:cNvPr id="14" name="Ok: Sağ 13">
          <a:extLst>
            <a:ext uri="{FF2B5EF4-FFF2-40B4-BE49-F238E27FC236}">
              <a16:creationId xmlns:a16="http://schemas.microsoft.com/office/drawing/2014/main" id="{00000000-0008-0000-0600-00000E000000}"/>
            </a:ext>
          </a:extLst>
        </xdr:cNvPr>
        <xdr:cNvSpPr/>
      </xdr:nvSpPr>
      <xdr:spPr>
        <a:xfrm>
          <a:off x="12532179" y="2694214"/>
          <a:ext cx="265339" cy="268177"/>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11</xdr:col>
      <xdr:colOff>219075</xdr:colOff>
      <xdr:row>11</xdr:row>
      <xdr:rowOff>9525</xdr:rowOff>
    </xdr:from>
    <xdr:to>
      <xdr:col>11</xdr:col>
      <xdr:colOff>484414</xdr:colOff>
      <xdr:row>12</xdr:row>
      <xdr:rowOff>79038</xdr:rowOff>
    </xdr:to>
    <xdr:sp macro="" textlink="">
      <xdr:nvSpPr>
        <xdr:cNvPr id="15" name="Ok: Sağ 14">
          <a:extLst>
            <a:ext uri="{FF2B5EF4-FFF2-40B4-BE49-F238E27FC236}">
              <a16:creationId xmlns:a16="http://schemas.microsoft.com/office/drawing/2014/main" id="{00000000-0008-0000-0600-00000F000000}"/>
            </a:ext>
          </a:extLst>
        </xdr:cNvPr>
        <xdr:cNvSpPr/>
      </xdr:nvSpPr>
      <xdr:spPr>
        <a:xfrm>
          <a:off x="13087350" y="2676525"/>
          <a:ext cx="265339" cy="26953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12</xdr:col>
      <xdr:colOff>247650</xdr:colOff>
      <xdr:row>11</xdr:row>
      <xdr:rowOff>14968</xdr:rowOff>
    </xdr:from>
    <xdr:to>
      <xdr:col>12</xdr:col>
      <xdr:colOff>512989</xdr:colOff>
      <xdr:row>12</xdr:row>
      <xdr:rowOff>79038</xdr:rowOff>
    </xdr:to>
    <xdr:sp macro="" textlink="">
      <xdr:nvSpPr>
        <xdr:cNvPr id="16" name="Ok: Sağ 15">
          <a:extLst>
            <a:ext uri="{FF2B5EF4-FFF2-40B4-BE49-F238E27FC236}">
              <a16:creationId xmlns:a16="http://schemas.microsoft.com/office/drawing/2014/main" id="{00000000-0008-0000-0600-000010000000}"/>
            </a:ext>
          </a:extLst>
        </xdr:cNvPr>
        <xdr:cNvSpPr/>
      </xdr:nvSpPr>
      <xdr:spPr>
        <a:xfrm>
          <a:off x="13706475" y="2681968"/>
          <a:ext cx="265339" cy="26409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13</xdr:col>
      <xdr:colOff>228600</xdr:colOff>
      <xdr:row>11</xdr:row>
      <xdr:rowOff>1361</xdr:rowOff>
    </xdr:from>
    <xdr:to>
      <xdr:col>13</xdr:col>
      <xdr:colOff>493939</xdr:colOff>
      <xdr:row>12</xdr:row>
      <xdr:rowOff>65431</xdr:rowOff>
    </xdr:to>
    <xdr:sp macro="" textlink="">
      <xdr:nvSpPr>
        <xdr:cNvPr id="17" name="Ok: Sağ 16">
          <a:extLst>
            <a:ext uri="{FF2B5EF4-FFF2-40B4-BE49-F238E27FC236}">
              <a16:creationId xmlns:a16="http://schemas.microsoft.com/office/drawing/2014/main" id="{00000000-0008-0000-0600-000011000000}"/>
            </a:ext>
          </a:extLst>
        </xdr:cNvPr>
        <xdr:cNvSpPr/>
      </xdr:nvSpPr>
      <xdr:spPr>
        <a:xfrm>
          <a:off x="14277975" y="2668361"/>
          <a:ext cx="265339" cy="26409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twoCellAnchor>
    <xdr:from>
      <xdr:col>14</xdr:col>
      <xdr:colOff>219075</xdr:colOff>
      <xdr:row>11</xdr:row>
      <xdr:rowOff>20411</xdr:rowOff>
    </xdr:from>
    <xdr:to>
      <xdr:col>14</xdr:col>
      <xdr:colOff>484414</xdr:colOff>
      <xdr:row>12</xdr:row>
      <xdr:rowOff>80399</xdr:rowOff>
    </xdr:to>
    <xdr:sp macro="" textlink="">
      <xdr:nvSpPr>
        <xdr:cNvPr id="18" name="Ok: Sağ 17">
          <a:extLst>
            <a:ext uri="{FF2B5EF4-FFF2-40B4-BE49-F238E27FC236}">
              <a16:creationId xmlns:a16="http://schemas.microsoft.com/office/drawing/2014/main" id="{00000000-0008-0000-0600-000012000000}"/>
            </a:ext>
          </a:extLst>
        </xdr:cNvPr>
        <xdr:cNvSpPr/>
      </xdr:nvSpPr>
      <xdr:spPr>
        <a:xfrm>
          <a:off x="14859000" y="2687411"/>
          <a:ext cx="265339" cy="260013"/>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a:p>
      </xdr:txBody>
    </xdr:sp>
    <xdr:clientData/>
  </xdr:twoCellAnchor>
</xdr:wsDr>
</file>

<file path=xl/theme/theme1.xml><?xml version="1.0" encoding="utf-8"?>
<a:theme xmlns:a="http://schemas.openxmlformats.org/drawingml/2006/main" name="Desert Sunset">
  <a:themeElements>
    <a:clrScheme name="Desert Sunset">
      <a:dk1>
        <a:sysClr val="windowText" lastClr="000000"/>
      </a:dk1>
      <a:lt1>
        <a:sysClr val="window" lastClr="FFFFFF"/>
      </a:lt1>
      <a:dk2>
        <a:srgbClr val="44546A"/>
      </a:dk2>
      <a:lt2>
        <a:srgbClr val="E7E6E6"/>
      </a:lt2>
      <a:accent1>
        <a:srgbClr val="CB4333"/>
      </a:accent1>
      <a:accent2>
        <a:srgbClr val="E96A63"/>
      </a:accent2>
      <a:accent3>
        <a:srgbClr val="F39863"/>
      </a:accent3>
      <a:accent4>
        <a:srgbClr val="FAC76C"/>
      </a:accent4>
      <a:accent5>
        <a:srgbClr val="6A5B96"/>
      </a:accent5>
      <a:accent6>
        <a:srgbClr val="C27D5C"/>
      </a:accent6>
      <a:hlink>
        <a:srgbClr val="E96187"/>
      </a:hlink>
      <a:folHlink>
        <a:srgbClr val="9B86BE"/>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DAEE4-6D9A-479B-8173-85BDBBB7FB2C}">
  <sheetPr>
    <tabColor rgb="FFFFC000"/>
  </sheetPr>
  <dimension ref="A2:V136"/>
  <sheetViews>
    <sheetView zoomScale="70" zoomScaleNormal="70" workbookViewId="0">
      <pane ySplit="14" topLeftCell="A33" activePane="bottomLeft" state="frozen"/>
      <selection pane="bottomLeft" activeCell="S45" sqref="S45"/>
    </sheetView>
  </sheetViews>
  <sheetFormatPr defaultRowHeight="14.5" x14ac:dyDescent="0.35"/>
  <cols>
    <col min="1" max="1" width="11.08984375" customWidth="1"/>
    <col min="2" max="2" width="16.6328125" bestFit="1" customWidth="1"/>
    <col min="3" max="3" width="11.453125" customWidth="1"/>
    <col min="4" max="4" width="25.08984375" customWidth="1"/>
    <col min="5" max="5" width="68.81640625" customWidth="1"/>
    <col min="6" max="6" width="10.36328125" customWidth="1"/>
    <col min="7" max="8" width="14.1796875" customWidth="1"/>
    <col min="9" max="9" width="13.81640625" customWidth="1"/>
    <col min="10" max="10" width="12.453125" customWidth="1"/>
    <col min="11" max="15" width="7.81640625" customWidth="1"/>
    <col min="16" max="16" width="22.90625" customWidth="1"/>
    <col min="17" max="17" width="17.90625" hidden="1" customWidth="1"/>
    <col min="19" max="19" width="59.1796875" bestFit="1" customWidth="1"/>
  </cols>
  <sheetData>
    <row r="2" spans="1:17" ht="14.25" customHeight="1" x14ac:dyDescent="0.35">
      <c r="C2" s="11"/>
      <c r="D2" s="243" t="s">
        <v>53</v>
      </c>
      <c r="E2" s="244"/>
      <c r="F2" s="249" t="s">
        <v>45</v>
      </c>
      <c r="G2" s="249"/>
      <c r="H2" s="249"/>
      <c r="I2" s="249"/>
      <c r="J2" s="262" t="s">
        <v>46</v>
      </c>
      <c r="K2" s="262"/>
      <c r="L2" s="262"/>
      <c r="M2" s="262"/>
      <c r="N2" s="262"/>
      <c r="O2" s="262"/>
      <c r="P2" s="252" t="s">
        <v>49</v>
      </c>
      <c r="Q2" s="238" t="s">
        <v>47</v>
      </c>
    </row>
    <row r="3" spans="1:17" ht="14.25" customHeight="1" x14ac:dyDescent="0.35">
      <c r="C3" s="11"/>
      <c r="D3" s="245"/>
      <c r="E3" s="246"/>
      <c r="F3" s="250"/>
      <c r="G3" s="250"/>
      <c r="H3" s="250"/>
      <c r="I3" s="250"/>
      <c r="J3" s="263"/>
      <c r="K3" s="263"/>
      <c r="L3" s="263"/>
      <c r="M3" s="263"/>
      <c r="N3" s="263"/>
      <c r="O3" s="263"/>
      <c r="P3" s="253"/>
      <c r="Q3" s="239"/>
    </row>
    <row r="4" spans="1:17" ht="4.5" customHeight="1" x14ac:dyDescent="0.35">
      <c r="D4" s="245"/>
      <c r="E4" s="246"/>
      <c r="F4" s="250"/>
      <c r="G4" s="250"/>
      <c r="H4" s="250"/>
      <c r="I4" s="250"/>
      <c r="J4" s="263"/>
      <c r="K4" s="263"/>
      <c r="L4" s="263"/>
      <c r="M4" s="263"/>
      <c r="N4" s="263"/>
      <c r="O4" s="263"/>
      <c r="P4" s="253"/>
      <c r="Q4" s="239"/>
    </row>
    <row r="5" spans="1:17" ht="0.75" customHeight="1" x14ac:dyDescent="0.35">
      <c r="D5" s="247"/>
      <c r="E5" s="248"/>
      <c r="F5" s="251"/>
      <c r="G5" s="251"/>
      <c r="H5" s="251"/>
      <c r="I5" s="251"/>
      <c r="J5" s="264"/>
      <c r="K5" s="264"/>
      <c r="L5" s="264"/>
      <c r="M5" s="264"/>
      <c r="N5" s="264"/>
      <c r="O5" s="264"/>
      <c r="P5" s="254"/>
      <c r="Q5" s="240"/>
    </row>
    <row r="6" spans="1:17" ht="52.5" customHeight="1" x14ac:dyDescent="0.35">
      <c r="D6" s="265" t="s">
        <v>54</v>
      </c>
      <c r="E6" s="266"/>
      <c r="F6" s="23" t="s">
        <v>43</v>
      </c>
      <c r="G6" s="255" t="s">
        <v>293</v>
      </c>
      <c r="H6" s="178" t="s">
        <v>368</v>
      </c>
      <c r="I6" s="27" t="s">
        <v>369</v>
      </c>
      <c r="J6" s="255" t="s">
        <v>44</v>
      </c>
      <c r="K6" s="16" t="s">
        <v>24</v>
      </c>
      <c r="L6" s="16" t="s">
        <v>23</v>
      </c>
      <c r="M6" s="16" t="s">
        <v>25</v>
      </c>
      <c r="N6" s="16" t="s">
        <v>26</v>
      </c>
      <c r="O6" s="16" t="s">
        <v>27</v>
      </c>
      <c r="P6" s="17"/>
      <c r="Q6" s="17"/>
    </row>
    <row r="7" spans="1:17" ht="11.25" customHeight="1" x14ac:dyDescent="0.35">
      <c r="D7" s="12"/>
      <c r="E7" s="18"/>
      <c r="F7" s="19"/>
      <c r="G7" s="256"/>
      <c r="H7" s="179"/>
      <c r="I7" s="241"/>
      <c r="J7" s="256"/>
      <c r="K7" s="19"/>
      <c r="L7" s="19"/>
      <c r="M7" s="19"/>
      <c r="N7" s="19"/>
      <c r="O7" s="19"/>
      <c r="P7" s="19"/>
      <c r="Q7" s="20"/>
    </row>
    <row r="8" spans="1:17" ht="21" customHeight="1" x14ac:dyDescent="0.35">
      <c r="D8" s="258"/>
      <c r="E8" s="259"/>
      <c r="F8" s="260"/>
      <c r="G8" s="256"/>
      <c r="H8" s="179"/>
      <c r="I8" s="241"/>
      <c r="J8" s="37" t="s">
        <v>41</v>
      </c>
      <c r="K8" s="37" t="s">
        <v>41</v>
      </c>
      <c r="L8" s="37" t="s">
        <v>41</v>
      </c>
      <c r="M8" s="37" t="s">
        <v>41</v>
      </c>
      <c r="N8" s="37" t="s">
        <v>41</v>
      </c>
      <c r="O8" s="37" t="s">
        <v>41</v>
      </c>
      <c r="P8" s="19" t="s">
        <v>48</v>
      </c>
      <c r="Q8" s="20"/>
    </row>
    <row r="9" spans="1:17" ht="17.25" customHeight="1" thickBot="1" x14ac:dyDescent="0.4">
      <c r="D9" s="32" t="s">
        <v>60</v>
      </c>
      <c r="E9" s="32" t="s">
        <v>42</v>
      </c>
      <c r="F9" s="261"/>
      <c r="G9" s="257"/>
      <c r="H9" s="180"/>
      <c r="I9" s="242"/>
      <c r="J9" s="21"/>
      <c r="K9" s="21"/>
      <c r="L9" s="21"/>
      <c r="M9" s="21"/>
      <c r="N9" s="21"/>
      <c r="O9" s="21"/>
      <c r="P9" s="22"/>
      <c r="Q9" s="21"/>
    </row>
    <row r="10" spans="1:17" ht="15" thickTop="1" x14ac:dyDescent="0.35">
      <c r="D10" s="12"/>
      <c r="E10" s="19"/>
      <c r="F10" s="19"/>
      <c r="G10" s="19"/>
      <c r="H10" s="19"/>
      <c r="I10" s="19"/>
      <c r="J10" s="19"/>
      <c r="K10" s="19"/>
      <c r="L10" s="19"/>
      <c r="M10" s="19"/>
      <c r="N10" s="19"/>
      <c r="O10" s="19"/>
      <c r="P10" s="19" t="s">
        <v>58</v>
      </c>
      <c r="Q10" s="20"/>
    </row>
    <row r="11" spans="1:17" x14ac:dyDescent="0.35">
      <c r="D11" s="19"/>
      <c r="E11" s="18"/>
      <c r="F11" s="19"/>
      <c r="G11" s="19"/>
      <c r="H11" s="19"/>
      <c r="I11" s="19"/>
      <c r="J11" s="19"/>
      <c r="K11" s="19"/>
      <c r="L11" s="19"/>
      <c r="M11" s="19"/>
      <c r="N11" s="19"/>
      <c r="O11" s="19"/>
      <c r="P11" s="19" t="s">
        <v>59</v>
      </c>
      <c r="Q11" s="20"/>
    </row>
    <row r="12" spans="1:17" x14ac:dyDescent="0.35">
      <c r="D12" s="19"/>
      <c r="E12" s="18"/>
      <c r="F12" s="24" t="str">
        <f>CONCATENATE((F14-E14),Formül!C3)</f>
        <v>5Gün</v>
      </c>
      <c r="G12" s="177" t="str">
        <f>CONCATENATE((G14-F14),Formül!C5)</f>
        <v>10Gün</v>
      </c>
      <c r="H12" s="177" t="str">
        <f>CONCATENATE((H14-G14),Formül!C7)</f>
        <v>10Gün</v>
      </c>
      <c r="I12" s="177" t="str">
        <f>CONCATENATE((I14-H14),Formül!C7)</f>
        <v>5Gün</v>
      </c>
      <c r="J12" s="19"/>
      <c r="K12" s="19"/>
      <c r="L12" s="19"/>
      <c r="M12" s="19"/>
      <c r="N12" s="19"/>
      <c r="O12" s="19"/>
      <c r="P12" s="19" t="s">
        <v>56</v>
      </c>
      <c r="Q12" s="20"/>
    </row>
    <row r="13" spans="1:17" x14ac:dyDescent="0.35">
      <c r="D13" s="19"/>
      <c r="E13" s="18"/>
      <c r="F13" s="19"/>
      <c r="G13" s="19"/>
      <c r="H13" s="19"/>
      <c r="I13" s="19"/>
      <c r="J13" s="19"/>
      <c r="K13" s="19"/>
      <c r="L13" s="19"/>
      <c r="M13" s="19"/>
      <c r="N13" s="19"/>
      <c r="O13" s="19"/>
      <c r="P13" s="19" t="s">
        <v>57</v>
      </c>
      <c r="Q13" s="20"/>
    </row>
    <row r="14" spans="1:17" ht="29.25" customHeight="1" x14ac:dyDescent="0.35">
      <c r="B14" s="78" t="s">
        <v>128</v>
      </c>
      <c r="D14" s="85">
        <v>46062</v>
      </c>
      <c r="E14" s="181">
        <f>Formül!B3</f>
        <v>46059</v>
      </c>
      <c r="F14" s="182">
        <f>Formül!B4</f>
        <v>46064</v>
      </c>
      <c r="G14" s="182">
        <f>Formül!B5</f>
        <v>46074</v>
      </c>
      <c r="H14" s="182">
        <f>Formül!B6</f>
        <v>46084</v>
      </c>
      <c r="I14" s="182">
        <f>Formül!B7</f>
        <v>46089</v>
      </c>
      <c r="J14" s="15">
        <f>Formül!$B7</f>
        <v>46089</v>
      </c>
      <c r="K14" s="15">
        <f>Formül!$B8</f>
        <v>46096</v>
      </c>
      <c r="L14" s="15">
        <f>Formül!$B9</f>
        <v>46126</v>
      </c>
      <c r="M14" s="15">
        <f>Formül!$B10</f>
        <v>46156</v>
      </c>
      <c r="N14" s="15">
        <f>Formül!$B11</f>
        <v>46187</v>
      </c>
      <c r="O14" s="15">
        <f>Formül!$B12</f>
        <v>46218</v>
      </c>
      <c r="P14" s="31">
        <f>Formül!$B13</f>
        <v>46263</v>
      </c>
      <c r="Q14" s="26">
        <f>Formül!$B14</f>
        <v>46293</v>
      </c>
    </row>
    <row r="15" spans="1:17" x14ac:dyDescent="0.35">
      <c r="F15" s="6"/>
      <c r="G15" s="6"/>
      <c r="H15" s="6"/>
      <c r="I15" s="6"/>
      <c r="J15" s="6"/>
    </row>
    <row r="16" spans="1:17" x14ac:dyDescent="0.35">
      <c r="A16" s="40"/>
      <c r="B16" s="40"/>
      <c r="C16" s="41"/>
      <c r="D16" s="40" t="s">
        <v>51</v>
      </c>
      <c r="E16" s="40" t="s">
        <v>52</v>
      </c>
      <c r="F16" s="6"/>
      <c r="G16" s="6"/>
      <c r="H16" s="6"/>
      <c r="I16" s="6"/>
      <c r="J16" s="6"/>
    </row>
    <row r="17" spans="1:22" ht="30" customHeight="1" x14ac:dyDescent="0.35">
      <c r="A17" s="28"/>
      <c r="B17" s="38" t="s">
        <v>125</v>
      </c>
      <c r="C17" s="38" t="s">
        <v>372</v>
      </c>
      <c r="D17" s="42" t="s">
        <v>22</v>
      </c>
      <c r="E17" s="50">
        <f>E14</f>
        <v>46059</v>
      </c>
      <c r="F17" s="49"/>
      <c r="G17" s="6"/>
      <c r="H17" s="6"/>
    </row>
    <row r="18" spans="1:22" ht="30" customHeight="1" x14ac:dyDescent="0.35">
      <c r="A18" s="10"/>
      <c r="B18" s="10" t="s">
        <v>125</v>
      </c>
      <c r="C18" s="10" t="s">
        <v>371</v>
      </c>
      <c r="D18" s="42" t="s">
        <v>15</v>
      </c>
      <c r="E18" s="43" t="s">
        <v>129</v>
      </c>
      <c r="F18" s="7"/>
      <c r="G18" s="7"/>
      <c r="H18" s="7"/>
    </row>
    <row r="19" spans="1:22" ht="11.15" customHeight="1" x14ac:dyDescent="0.35">
      <c r="A19" s="10"/>
      <c r="B19" s="10"/>
      <c r="C19" s="38"/>
      <c r="D19" s="42"/>
      <c r="E19" s="43"/>
      <c r="S19" s="1"/>
      <c r="T19" s="1"/>
      <c r="U19" s="1"/>
      <c r="V19" s="1"/>
    </row>
    <row r="20" spans="1:22" ht="30" customHeight="1" x14ac:dyDescent="0.35">
      <c r="A20" s="10"/>
      <c r="B20" s="10" t="s">
        <v>125</v>
      </c>
      <c r="C20" s="10" t="s">
        <v>371</v>
      </c>
      <c r="D20" s="42" t="s">
        <v>15</v>
      </c>
      <c r="E20" s="43" t="s">
        <v>62</v>
      </c>
      <c r="F20" s="7"/>
      <c r="G20" s="7"/>
      <c r="H20" s="7"/>
      <c r="S20" s="1"/>
      <c r="T20" s="1"/>
      <c r="U20" s="1"/>
      <c r="V20" s="1"/>
    </row>
    <row r="21" spans="1:22" ht="11.15" customHeight="1" x14ac:dyDescent="0.35">
      <c r="A21" s="10"/>
      <c r="B21" s="10"/>
      <c r="C21" s="38"/>
      <c r="D21" s="42"/>
      <c r="E21" s="43"/>
      <c r="S21" s="1"/>
      <c r="T21" s="1"/>
      <c r="U21" s="1"/>
      <c r="V21" s="1"/>
    </row>
    <row r="22" spans="1:22" ht="41.25" customHeight="1" x14ac:dyDescent="0.35">
      <c r="A22" s="10"/>
      <c r="B22" s="10" t="s">
        <v>126</v>
      </c>
      <c r="C22" s="10"/>
      <c r="D22" s="42" t="s">
        <v>18</v>
      </c>
      <c r="E22" s="43" t="s">
        <v>290</v>
      </c>
      <c r="F22" s="7"/>
      <c r="G22" s="7"/>
      <c r="H22" s="7"/>
      <c r="S22" s="1"/>
      <c r="T22" s="1"/>
      <c r="U22" s="1"/>
      <c r="V22" s="1"/>
    </row>
    <row r="23" spans="1:22" x14ac:dyDescent="0.35">
      <c r="A23" s="10"/>
      <c r="B23" s="234" t="s">
        <v>538</v>
      </c>
      <c r="C23" s="234"/>
      <c r="D23" s="42"/>
      <c r="E23" s="43"/>
      <c r="S23" s="1"/>
      <c r="T23" s="1"/>
      <c r="U23" s="1"/>
      <c r="V23" s="1"/>
    </row>
    <row r="24" spans="1:22" ht="15" thickBot="1" x14ac:dyDescent="0.4">
      <c r="A24" s="10" t="s">
        <v>539</v>
      </c>
      <c r="B24" s="10" t="s">
        <v>327</v>
      </c>
      <c r="C24" s="42" t="s">
        <v>540</v>
      </c>
      <c r="D24" s="42"/>
      <c r="E24" s="43"/>
      <c r="S24" s="1"/>
      <c r="T24" s="1"/>
      <c r="U24" s="1"/>
      <c r="V24" s="1"/>
    </row>
    <row r="25" spans="1:22" ht="15.75" customHeight="1" thickBot="1" x14ac:dyDescent="0.4">
      <c r="A25" s="10" t="s">
        <v>373</v>
      </c>
      <c r="B25" s="10"/>
      <c r="C25" s="10"/>
      <c r="D25" s="230" t="s">
        <v>563</v>
      </c>
      <c r="E25" s="218" t="s">
        <v>374</v>
      </c>
      <c r="F25" s="7"/>
      <c r="G25" s="7"/>
      <c r="H25" s="7"/>
      <c r="I25" s="7"/>
      <c r="S25" s="1"/>
      <c r="T25" s="1"/>
      <c r="U25" s="1"/>
      <c r="V25" s="1"/>
    </row>
    <row r="26" spans="1:22" ht="15.75" customHeight="1" thickBot="1" x14ac:dyDescent="0.4">
      <c r="A26" s="10" t="s">
        <v>373</v>
      </c>
      <c r="B26" s="10"/>
      <c r="C26" s="10"/>
      <c r="D26" s="231"/>
      <c r="E26" s="218" t="s">
        <v>375</v>
      </c>
      <c r="F26" s="7"/>
      <c r="G26" s="7"/>
      <c r="H26" s="7"/>
      <c r="I26" s="7"/>
      <c r="S26" s="1"/>
      <c r="T26" s="1"/>
      <c r="U26" s="1"/>
      <c r="V26" s="1"/>
    </row>
    <row r="27" spans="1:22" ht="15.75" customHeight="1" thickBot="1" x14ac:dyDescent="0.4">
      <c r="A27" s="10" t="s">
        <v>373</v>
      </c>
      <c r="B27" s="10"/>
      <c r="C27" s="10"/>
      <c r="D27" s="231"/>
      <c r="E27" s="218" t="s">
        <v>376</v>
      </c>
      <c r="F27" s="7"/>
      <c r="G27" s="7"/>
      <c r="H27" s="7"/>
      <c r="I27" s="7"/>
      <c r="S27" s="1"/>
      <c r="T27" s="1"/>
      <c r="U27" s="1"/>
      <c r="V27" s="1"/>
    </row>
    <row r="28" spans="1:22" ht="15" thickBot="1" x14ac:dyDescent="0.4">
      <c r="A28" s="10" t="s">
        <v>373</v>
      </c>
      <c r="B28" s="10"/>
      <c r="C28" s="10"/>
      <c r="D28" s="231"/>
      <c r="E28" s="218" t="s">
        <v>377</v>
      </c>
      <c r="F28" s="7"/>
      <c r="G28" s="7"/>
      <c r="H28" s="7"/>
      <c r="I28" s="7"/>
      <c r="S28" s="1"/>
      <c r="T28" s="1"/>
      <c r="U28" s="1"/>
      <c r="V28" s="1"/>
    </row>
    <row r="29" spans="1:22" ht="62.25" customHeight="1" thickBot="1" x14ac:dyDescent="0.4">
      <c r="A29" s="10" t="s">
        <v>373</v>
      </c>
      <c r="B29" s="10"/>
      <c r="C29" s="10"/>
      <c r="D29" s="231"/>
      <c r="E29" s="218" t="s">
        <v>378</v>
      </c>
      <c r="F29" s="7"/>
      <c r="G29" s="7"/>
      <c r="H29" s="7"/>
      <c r="I29" s="7"/>
      <c r="S29" s="1"/>
      <c r="T29" s="1"/>
      <c r="U29" s="1"/>
      <c r="V29" s="1"/>
    </row>
    <row r="30" spans="1:22" ht="44" thickBot="1" x14ac:dyDescent="0.4">
      <c r="A30" s="10" t="s">
        <v>373</v>
      </c>
      <c r="B30" s="10"/>
      <c r="C30" s="10"/>
      <c r="D30" s="231"/>
      <c r="E30" s="218" t="s">
        <v>379</v>
      </c>
      <c r="F30" s="7"/>
      <c r="G30" s="7"/>
      <c r="H30" s="7"/>
      <c r="I30" s="7"/>
      <c r="S30" s="1"/>
      <c r="T30" s="1"/>
      <c r="U30" s="1"/>
      <c r="V30" s="1"/>
    </row>
    <row r="31" spans="1:22" ht="29.5" thickBot="1" x14ac:dyDescent="0.4">
      <c r="A31" s="10" t="s">
        <v>373</v>
      </c>
      <c r="B31" s="10"/>
      <c r="C31" s="10"/>
      <c r="D31" s="231"/>
      <c r="E31" s="218" t="s">
        <v>380</v>
      </c>
      <c r="F31" s="7"/>
      <c r="G31" s="7"/>
      <c r="H31" s="7"/>
      <c r="I31" s="7"/>
      <c r="S31" s="1"/>
      <c r="T31" s="1"/>
      <c r="U31" s="1"/>
      <c r="V31" s="1"/>
    </row>
    <row r="32" spans="1:22" ht="58.5" thickBot="1" x14ac:dyDescent="0.4">
      <c r="A32" s="10" t="s">
        <v>373</v>
      </c>
      <c r="B32" s="10"/>
      <c r="C32" s="10"/>
      <c r="D32" s="231"/>
      <c r="E32" s="218" t="s">
        <v>381</v>
      </c>
      <c r="F32" s="7"/>
      <c r="G32" s="7"/>
      <c r="H32" s="7"/>
      <c r="I32" s="7"/>
    </row>
    <row r="33" spans="1:15" ht="20.25" customHeight="1" thickBot="1" x14ac:dyDescent="0.4">
      <c r="A33" s="10" t="s">
        <v>373</v>
      </c>
      <c r="B33" s="10"/>
      <c r="C33" s="10"/>
      <c r="D33" s="231"/>
      <c r="E33" s="218" t="s">
        <v>382</v>
      </c>
      <c r="F33" s="7"/>
      <c r="G33" s="7"/>
      <c r="H33" s="7"/>
      <c r="I33" s="7"/>
    </row>
    <row r="34" spans="1:15" ht="15" thickBot="1" x14ac:dyDescent="0.4">
      <c r="A34" s="10" t="s">
        <v>373</v>
      </c>
      <c r="B34" s="10"/>
      <c r="C34" s="10"/>
      <c r="D34" s="231"/>
      <c r="E34" s="218" t="s">
        <v>383</v>
      </c>
      <c r="F34" s="7"/>
      <c r="G34" s="7"/>
      <c r="H34" s="7"/>
      <c r="I34" s="7"/>
    </row>
    <row r="35" spans="1:15" ht="15" thickBot="1" x14ac:dyDescent="0.4">
      <c r="A35" s="10" t="s">
        <v>373</v>
      </c>
      <c r="B35" s="10"/>
      <c r="C35" s="10"/>
      <c r="D35" s="231"/>
      <c r="E35" s="218" t="s">
        <v>384</v>
      </c>
      <c r="F35" s="7"/>
      <c r="G35" s="7"/>
      <c r="H35" s="7"/>
      <c r="I35" s="7"/>
    </row>
    <row r="36" spans="1:15" ht="15" thickBot="1" x14ac:dyDescent="0.4">
      <c r="A36" s="10" t="s">
        <v>373</v>
      </c>
      <c r="B36" s="10"/>
      <c r="C36" s="10"/>
      <c r="D36" s="231"/>
      <c r="E36" s="218" t="s">
        <v>385</v>
      </c>
      <c r="F36" s="7"/>
      <c r="G36" s="7"/>
      <c r="H36" s="7"/>
      <c r="I36" s="7"/>
    </row>
    <row r="37" spans="1:15" ht="14.25" customHeight="1" thickBot="1" x14ac:dyDescent="0.4">
      <c r="A37" s="10" t="s">
        <v>373</v>
      </c>
      <c r="B37" s="10"/>
      <c r="C37" s="10"/>
      <c r="D37" s="232"/>
      <c r="E37" s="218" t="s">
        <v>386</v>
      </c>
      <c r="F37" s="7"/>
      <c r="G37" s="7"/>
      <c r="H37" s="7"/>
      <c r="I37" s="7"/>
    </row>
    <row r="38" spans="1:15" ht="14.25" customHeight="1" thickBot="1" x14ac:dyDescent="0.4">
      <c r="A38" s="10"/>
      <c r="B38" s="10"/>
      <c r="C38" s="10"/>
      <c r="D38" s="42"/>
      <c r="E38" s="219"/>
      <c r="F38" s="186"/>
      <c r="G38" s="186"/>
      <c r="H38" s="186"/>
    </row>
    <row r="39" spans="1:15" ht="14.25" customHeight="1" thickBot="1" x14ac:dyDescent="0.4">
      <c r="A39" s="233" t="s">
        <v>561</v>
      </c>
      <c r="B39" s="233"/>
      <c r="C39" s="237"/>
      <c r="D39" s="230" t="s">
        <v>564</v>
      </c>
      <c r="E39" s="220" t="s">
        <v>387</v>
      </c>
      <c r="F39" s="199" t="s">
        <v>373</v>
      </c>
      <c r="G39" s="7"/>
      <c r="H39" s="7"/>
      <c r="I39" s="7"/>
      <c r="J39" s="2" t="s">
        <v>373</v>
      </c>
      <c r="K39" s="2" t="s">
        <v>373</v>
      </c>
      <c r="L39" s="2" t="s">
        <v>373</v>
      </c>
      <c r="M39" s="2" t="s">
        <v>373</v>
      </c>
      <c r="N39" s="2" t="s">
        <v>373</v>
      </c>
      <c r="O39" s="2" t="s">
        <v>373</v>
      </c>
    </row>
    <row r="40" spans="1:15" ht="14.25" customHeight="1" thickBot="1" x14ac:dyDescent="0.4">
      <c r="A40" s="233" t="s">
        <v>561</v>
      </c>
      <c r="B40" s="233"/>
      <c r="C40" s="237"/>
      <c r="D40" s="231"/>
      <c r="E40" s="220" t="s">
        <v>388</v>
      </c>
      <c r="F40" s="199" t="s">
        <v>373</v>
      </c>
      <c r="G40" s="7"/>
      <c r="H40" s="7"/>
      <c r="I40" s="7"/>
      <c r="J40" s="2" t="s">
        <v>373</v>
      </c>
      <c r="K40" s="2" t="s">
        <v>373</v>
      </c>
      <c r="L40" s="2" t="s">
        <v>373</v>
      </c>
      <c r="M40" s="2" t="s">
        <v>373</v>
      </c>
      <c r="N40" s="2" t="s">
        <v>373</v>
      </c>
      <c r="O40" s="2" t="s">
        <v>373</v>
      </c>
    </row>
    <row r="41" spans="1:15" ht="14.25" customHeight="1" thickBot="1" x14ac:dyDescent="0.4">
      <c r="A41" s="233" t="s">
        <v>561</v>
      </c>
      <c r="B41" s="233"/>
      <c r="C41" s="237"/>
      <c r="D41" s="231"/>
      <c r="E41" s="220" t="s">
        <v>389</v>
      </c>
      <c r="F41" s="199" t="s">
        <v>373</v>
      </c>
      <c r="G41" s="7"/>
      <c r="H41" s="7"/>
      <c r="I41" s="7"/>
      <c r="J41" s="2" t="s">
        <v>373</v>
      </c>
      <c r="K41" s="2" t="s">
        <v>373</v>
      </c>
      <c r="L41" s="2" t="s">
        <v>373</v>
      </c>
      <c r="M41" s="2" t="s">
        <v>373</v>
      </c>
      <c r="N41" s="2" t="s">
        <v>373</v>
      </c>
      <c r="O41" s="2" t="s">
        <v>373</v>
      </c>
    </row>
    <row r="42" spans="1:15" ht="14.25" customHeight="1" thickBot="1" x14ac:dyDescent="0.4">
      <c r="A42" s="10"/>
      <c r="B42" s="10" t="s">
        <v>373</v>
      </c>
      <c r="C42" s="10"/>
      <c r="D42" s="231"/>
      <c r="E42" s="220" t="s">
        <v>390</v>
      </c>
      <c r="F42" s="199" t="s">
        <v>373</v>
      </c>
      <c r="G42" s="7"/>
      <c r="H42" s="7"/>
      <c r="I42" s="7"/>
      <c r="J42" s="2" t="s">
        <v>373</v>
      </c>
      <c r="K42" s="2" t="s">
        <v>373</v>
      </c>
      <c r="L42" s="2" t="s">
        <v>373</v>
      </c>
      <c r="M42" s="2" t="s">
        <v>373</v>
      </c>
      <c r="N42" s="2" t="s">
        <v>373</v>
      </c>
      <c r="O42" s="2" t="s">
        <v>373</v>
      </c>
    </row>
    <row r="43" spans="1:15" ht="14.25" customHeight="1" thickBot="1" x14ac:dyDescent="0.4">
      <c r="A43" s="211"/>
      <c r="B43" s="211" t="s">
        <v>373</v>
      </c>
      <c r="C43" s="217" t="s">
        <v>373</v>
      </c>
      <c r="D43" s="231"/>
      <c r="E43" s="220" t="s">
        <v>391</v>
      </c>
      <c r="F43" s="199" t="s">
        <v>373</v>
      </c>
      <c r="G43" s="7"/>
      <c r="H43" s="7"/>
      <c r="I43" s="7"/>
      <c r="J43" s="2" t="s">
        <v>373</v>
      </c>
      <c r="K43" s="2" t="s">
        <v>373</v>
      </c>
      <c r="L43" s="2" t="s">
        <v>373</v>
      </c>
      <c r="M43" s="2" t="s">
        <v>373</v>
      </c>
      <c r="N43" s="2" t="s">
        <v>373</v>
      </c>
      <c r="O43" s="2" t="s">
        <v>373</v>
      </c>
    </row>
    <row r="44" spans="1:15" ht="14.25" customHeight="1" thickBot="1" x14ac:dyDescent="0.4">
      <c r="A44" s="233" t="s">
        <v>561</v>
      </c>
      <c r="B44" s="233"/>
      <c r="C44" s="237"/>
      <c r="D44" s="231"/>
      <c r="E44" s="220" t="s">
        <v>392</v>
      </c>
      <c r="F44" s="199" t="s">
        <v>373</v>
      </c>
      <c r="G44" s="7"/>
      <c r="H44" s="7"/>
      <c r="I44" s="7"/>
      <c r="J44" s="2" t="s">
        <v>373</v>
      </c>
      <c r="K44" s="2" t="s">
        <v>373</v>
      </c>
      <c r="L44" s="2" t="s">
        <v>373</v>
      </c>
      <c r="M44" s="2" t="s">
        <v>373</v>
      </c>
      <c r="N44" s="2" t="s">
        <v>373</v>
      </c>
      <c r="O44" s="2" t="s">
        <v>373</v>
      </c>
    </row>
    <row r="45" spans="1:15" ht="14.25" customHeight="1" thickBot="1" x14ac:dyDescent="0.4">
      <c r="A45" s="10" t="s">
        <v>373</v>
      </c>
      <c r="B45" s="10"/>
      <c r="C45" s="10"/>
      <c r="D45" s="231"/>
      <c r="E45" s="220" t="s">
        <v>393</v>
      </c>
      <c r="F45" s="199" t="s">
        <v>373</v>
      </c>
      <c r="G45" s="7"/>
      <c r="H45" s="7"/>
      <c r="I45" s="7"/>
      <c r="J45" s="2" t="s">
        <v>373</v>
      </c>
      <c r="K45" s="2" t="s">
        <v>373</v>
      </c>
      <c r="L45" s="2" t="s">
        <v>373</v>
      </c>
      <c r="M45" s="2" t="s">
        <v>373</v>
      </c>
      <c r="N45" s="2" t="s">
        <v>373</v>
      </c>
      <c r="O45" s="2" t="s">
        <v>373</v>
      </c>
    </row>
    <row r="46" spans="1:15" ht="14.25" customHeight="1" thickBot="1" x14ac:dyDescent="0.4">
      <c r="A46" s="10" t="s">
        <v>373</v>
      </c>
      <c r="B46" s="10"/>
      <c r="C46" s="10"/>
      <c r="D46" s="231"/>
      <c r="E46" s="218" t="s">
        <v>394</v>
      </c>
      <c r="F46" s="210" t="s">
        <v>555</v>
      </c>
      <c r="G46" s="7"/>
      <c r="H46" s="7"/>
      <c r="I46" s="7"/>
      <c r="J46" s="2" t="s">
        <v>373</v>
      </c>
      <c r="K46" s="2" t="s">
        <v>373</v>
      </c>
      <c r="L46" s="2" t="s">
        <v>373</v>
      </c>
      <c r="M46" s="2" t="s">
        <v>373</v>
      </c>
      <c r="N46" s="2" t="s">
        <v>373</v>
      </c>
      <c r="O46" s="2" t="s">
        <v>373</v>
      </c>
    </row>
    <row r="47" spans="1:15" ht="14.25" customHeight="1" thickBot="1" x14ac:dyDescent="0.4">
      <c r="A47" s="10" t="s">
        <v>373</v>
      </c>
      <c r="B47" s="10"/>
      <c r="C47" s="10"/>
      <c r="D47" s="231"/>
      <c r="E47" s="218" t="s">
        <v>395</v>
      </c>
      <c r="F47" s="199" t="s">
        <v>373</v>
      </c>
      <c r="G47" s="7"/>
      <c r="H47" s="7"/>
      <c r="I47" s="7"/>
      <c r="J47" s="2" t="s">
        <v>373</v>
      </c>
      <c r="K47" s="2" t="s">
        <v>373</v>
      </c>
      <c r="L47" s="2" t="s">
        <v>373</v>
      </c>
      <c r="M47" s="2" t="s">
        <v>373</v>
      </c>
      <c r="N47" s="2" t="s">
        <v>373</v>
      </c>
      <c r="O47" s="2" t="s">
        <v>373</v>
      </c>
    </row>
    <row r="48" spans="1:15" ht="14.25" customHeight="1" thickBot="1" x14ac:dyDescent="0.4">
      <c r="A48" s="10" t="s">
        <v>373</v>
      </c>
      <c r="B48" s="10"/>
      <c r="C48" s="10"/>
      <c r="D48" s="231"/>
      <c r="E48" s="218" t="s">
        <v>396</v>
      </c>
      <c r="F48" s="199" t="s">
        <v>373</v>
      </c>
      <c r="G48" s="7"/>
      <c r="H48" s="7"/>
      <c r="I48" s="7"/>
      <c r="J48" s="2" t="s">
        <v>373</v>
      </c>
      <c r="K48" s="2" t="s">
        <v>373</v>
      </c>
      <c r="L48" s="2" t="s">
        <v>373</v>
      </c>
      <c r="M48" s="2" t="s">
        <v>373</v>
      </c>
      <c r="N48" s="2" t="s">
        <v>373</v>
      </c>
      <c r="O48" s="2" t="s">
        <v>373</v>
      </c>
    </row>
    <row r="49" spans="1:15" ht="14.25" customHeight="1" thickBot="1" x14ac:dyDescent="0.4">
      <c r="A49" s="10"/>
      <c r="B49" s="10"/>
      <c r="C49" s="10"/>
      <c r="D49" s="231"/>
      <c r="E49" s="220" t="s">
        <v>559</v>
      </c>
      <c r="F49" s="199" t="s">
        <v>373</v>
      </c>
      <c r="G49" s="7"/>
      <c r="H49" s="7"/>
      <c r="I49" s="7"/>
      <c r="J49" s="2"/>
      <c r="K49" s="2"/>
      <c r="L49" s="2"/>
      <c r="M49" s="2"/>
      <c r="N49" s="2"/>
      <c r="O49" s="2"/>
    </row>
    <row r="50" spans="1:15" ht="14.25" customHeight="1" thickBot="1" x14ac:dyDescent="0.4">
      <c r="A50" s="10" t="s">
        <v>373</v>
      </c>
      <c r="B50" s="10"/>
      <c r="C50" s="10"/>
      <c r="D50" s="231"/>
      <c r="E50" s="221" t="s">
        <v>411</v>
      </c>
      <c r="F50" s="199" t="s">
        <v>373</v>
      </c>
      <c r="G50" s="7"/>
      <c r="H50" s="7"/>
      <c r="I50" s="7"/>
      <c r="J50" s="2" t="s">
        <v>373</v>
      </c>
      <c r="K50" s="2" t="s">
        <v>373</v>
      </c>
      <c r="L50" s="2" t="s">
        <v>373</v>
      </c>
      <c r="M50" s="2" t="s">
        <v>373</v>
      </c>
      <c r="N50" s="2" t="s">
        <v>373</v>
      </c>
      <c r="O50" s="2" t="s">
        <v>373</v>
      </c>
    </row>
    <row r="51" spans="1:15" ht="15.65" customHeight="1" thickBot="1" x14ac:dyDescent="0.4">
      <c r="A51" s="10" t="s">
        <v>373</v>
      </c>
      <c r="B51" s="10"/>
      <c r="C51" s="10"/>
      <c r="D51" s="231"/>
      <c r="E51" s="218" t="s">
        <v>397</v>
      </c>
      <c r="F51" s="199" t="s">
        <v>373</v>
      </c>
      <c r="G51" s="7"/>
      <c r="H51" s="7"/>
      <c r="I51" s="7"/>
      <c r="J51" s="2" t="s">
        <v>373</v>
      </c>
      <c r="K51" s="2" t="s">
        <v>373</v>
      </c>
      <c r="L51" s="2" t="s">
        <v>373</v>
      </c>
      <c r="M51" s="2" t="s">
        <v>373</v>
      </c>
      <c r="N51" s="2" t="s">
        <v>373</v>
      </c>
      <c r="O51" s="2" t="s">
        <v>373</v>
      </c>
    </row>
    <row r="52" spans="1:15" ht="14.25" customHeight="1" thickBot="1" x14ac:dyDescent="0.4">
      <c r="A52" s="10" t="s">
        <v>373</v>
      </c>
      <c r="B52" s="10"/>
      <c r="C52" s="10"/>
      <c r="D52" s="231"/>
      <c r="E52" s="218" t="s">
        <v>398</v>
      </c>
      <c r="F52" s="199" t="s">
        <v>373</v>
      </c>
      <c r="G52" s="7"/>
      <c r="H52" s="7"/>
      <c r="I52" s="7"/>
      <c r="J52" s="2" t="s">
        <v>373</v>
      </c>
      <c r="K52" s="2" t="s">
        <v>373</v>
      </c>
      <c r="L52" s="2" t="s">
        <v>373</v>
      </c>
      <c r="M52" s="2" t="s">
        <v>373</v>
      </c>
      <c r="N52" s="2" t="s">
        <v>373</v>
      </c>
      <c r="O52" s="2" t="s">
        <v>373</v>
      </c>
    </row>
    <row r="53" spans="1:15" ht="14.25" customHeight="1" thickBot="1" x14ac:dyDescent="0.4">
      <c r="A53" s="10" t="s">
        <v>373</v>
      </c>
      <c r="B53" s="10"/>
      <c r="C53" s="10"/>
      <c r="D53" s="231"/>
      <c r="E53" s="218" t="s">
        <v>399</v>
      </c>
      <c r="F53" s="199" t="s">
        <v>373</v>
      </c>
      <c r="G53" s="7"/>
      <c r="H53" s="7"/>
      <c r="I53" s="7"/>
      <c r="J53" s="2" t="s">
        <v>373</v>
      </c>
      <c r="K53" s="2" t="s">
        <v>373</v>
      </c>
      <c r="L53" s="2" t="s">
        <v>373</v>
      </c>
      <c r="M53" s="2" t="s">
        <v>373</v>
      </c>
      <c r="N53" s="2" t="s">
        <v>373</v>
      </c>
      <c r="O53" s="2" t="s">
        <v>373</v>
      </c>
    </row>
    <row r="54" spans="1:15" ht="14.25" customHeight="1" thickBot="1" x14ac:dyDescent="0.4">
      <c r="A54" s="10" t="s">
        <v>373</v>
      </c>
      <c r="B54" s="10"/>
      <c r="C54" s="10"/>
      <c r="D54" s="231"/>
      <c r="E54" s="218" t="s">
        <v>400</v>
      </c>
      <c r="F54" s="199" t="s">
        <v>373</v>
      </c>
      <c r="G54" s="7"/>
      <c r="H54" s="7"/>
      <c r="I54" s="7"/>
      <c r="J54" s="2" t="s">
        <v>373</v>
      </c>
      <c r="K54" s="2" t="s">
        <v>373</v>
      </c>
      <c r="L54" s="2" t="s">
        <v>373</v>
      </c>
      <c r="M54" s="2" t="s">
        <v>373</v>
      </c>
      <c r="N54" s="2" t="s">
        <v>373</v>
      </c>
      <c r="O54" s="2" t="s">
        <v>373</v>
      </c>
    </row>
    <row r="55" spans="1:15" ht="14.25" customHeight="1" thickBot="1" x14ac:dyDescent="0.4">
      <c r="A55" s="10" t="s">
        <v>373</v>
      </c>
      <c r="B55" s="10"/>
      <c r="C55" s="10"/>
      <c r="D55" s="231"/>
      <c r="E55" s="218" t="s">
        <v>401</v>
      </c>
      <c r="F55" s="199" t="s">
        <v>373</v>
      </c>
      <c r="G55" s="7"/>
      <c r="H55" s="7"/>
      <c r="I55" s="7"/>
      <c r="J55" s="2" t="s">
        <v>373</v>
      </c>
      <c r="K55" s="2" t="s">
        <v>373</v>
      </c>
      <c r="L55" s="2" t="s">
        <v>373</v>
      </c>
      <c r="M55" s="2" t="s">
        <v>373</v>
      </c>
      <c r="N55" s="2" t="s">
        <v>373</v>
      </c>
      <c r="O55" s="2" t="s">
        <v>373</v>
      </c>
    </row>
    <row r="56" spans="1:15" ht="14.25" customHeight="1" thickBot="1" x14ac:dyDescent="0.4">
      <c r="A56" s="10" t="s">
        <v>373</v>
      </c>
      <c r="B56" s="10"/>
      <c r="C56" s="10"/>
      <c r="D56" s="232"/>
      <c r="E56" s="221" t="s">
        <v>402</v>
      </c>
      <c r="F56" s="199" t="s">
        <v>373</v>
      </c>
      <c r="G56" s="199"/>
      <c r="H56" s="199"/>
      <c r="I56" s="7"/>
      <c r="J56" s="2" t="s">
        <v>373</v>
      </c>
      <c r="K56" s="2" t="s">
        <v>373</v>
      </c>
      <c r="L56" s="2" t="s">
        <v>373</v>
      </c>
      <c r="M56" s="2" t="s">
        <v>373</v>
      </c>
      <c r="N56" s="2" t="s">
        <v>373</v>
      </c>
      <c r="O56" s="2" t="s">
        <v>373</v>
      </c>
    </row>
    <row r="57" spans="1:15" ht="14.25" customHeight="1" thickBot="1" x14ac:dyDescent="0.4">
      <c r="A57" s="10"/>
      <c r="B57" s="10"/>
      <c r="C57" s="10"/>
      <c r="D57" s="42"/>
      <c r="E57" s="219"/>
      <c r="F57" s="2"/>
      <c r="G57" s="2"/>
      <c r="H57" s="2"/>
    </row>
    <row r="58" spans="1:15" ht="14.25" customHeight="1" thickBot="1" x14ac:dyDescent="0.4">
      <c r="A58" s="10"/>
      <c r="B58" s="10" t="s">
        <v>373</v>
      </c>
      <c r="C58" s="10"/>
      <c r="D58" s="230" t="s">
        <v>537</v>
      </c>
      <c r="E58" s="221" t="s">
        <v>410</v>
      </c>
      <c r="F58" s="2"/>
      <c r="G58" s="2"/>
      <c r="H58" s="2"/>
      <c r="J58" s="7"/>
      <c r="K58" s="7"/>
      <c r="L58" s="7"/>
      <c r="M58" s="7"/>
      <c r="N58" s="7"/>
      <c r="O58" s="7"/>
    </row>
    <row r="59" spans="1:15" ht="14.25" customHeight="1" thickBot="1" x14ac:dyDescent="0.4">
      <c r="A59" s="10"/>
      <c r="B59" s="10" t="s">
        <v>373</v>
      </c>
      <c r="C59" s="10"/>
      <c r="D59" s="231"/>
      <c r="E59" s="221" t="s">
        <v>403</v>
      </c>
      <c r="F59" s="2"/>
      <c r="G59" s="2"/>
      <c r="H59" s="2"/>
      <c r="J59" s="7"/>
      <c r="K59" s="7"/>
      <c r="L59" s="7"/>
      <c r="M59" s="7"/>
      <c r="N59" s="7"/>
      <c r="O59" s="7"/>
    </row>
    <row r="60" spans="1:15" ht="14.25" customHeight="1" thickBot="1" x14ac:dyDescent="0.4">
      <c r="A60" s="10"/>
      <c r="B60" s="10" t="s">
        <v>373</v>
      </c>
      <c r="C60" s="10"/>
      <c r="D60" s="231"/>
      <c r="E60" s="221" t="s">
        <v>404</v>
      </c>
      <c r="J60" s="7"/>
      <c r="K60" s="7"/>
      <c r="L60" s="7"/>
      <c r="M60" s="7"/>
      <c r="N60" s="7"/>
      <c r="O60" s="7"/>
    </row>
    <row r="61" spans="1:15" ht="14.25" customHeight="1" thickBot="1" x14ac:dyDescent="0.4">
      <c r="A61" s="10"/>
      <c r="B61" s="10" t="s">
        <v>373</v>
      </c>
      <c r="C61" s="10"/>
      <c r="D61" s="231"/>
      <c r="E61" s="221" t="s">
        <v>405</v>
      </c>
      <c r="J61" s="7"/>
      <c r="K61" s="7"/>
      <c r="L61" s="7"/>
      <c r="M61" s="7"/>
      <c r="N61" s="7"/>
      <c r="O61" s="7"/>
    </row>
    <row r="62" spans="1:15" ht="14.25" customHeight="1" thickBot="1" x14ac:dyDescent="0.4">
      <c r="A62" s="10"/>
      <c r="B62" s="10" t="s">
        <v>373</v>
      </c>
      <c r="C62" s="10"/>
      <c r="D62" s="231"/>
      <c r="E62" s="221" t="s">
        <v>406</v>
      </c>
      <c r="J62" s="7"/>
      <c r="K62" s="7"/>
      <c r="L62" s="7"/>
      <c r="M62" s="7"/>
      <c r="N62" s="7"/>
      <c r="O62" s="7"/>
    </row>
    <row r="63" spans="1:15" ht="14.25" customHeight="1" thickBot="1" x14ac:dyDescent="0.4">
      <c r="A63" s="10"/>
      <c r="B63" s="10" t="s">
        <v>373</v>
      </c>
      <c r="C63" s="10"/>
      <c r="D63" s="231"/>
      <c r="E63" s="221" t="s">
        <v>407</v>
      </c>
      <c r="J63" s="7"/>
      <c r="K63" s="7"/>
      <c r="L63" s="7"/>
      <c r="M63" s="7"/>
      <c r="N63" s="7"/>
      <c r="O63" s="7"/>
    </row>
    <row r="64" spans="1:15" ht="14.25" customHeight="1" thickBot="1" x14ac:dyDescent="0.4">
      <c r="A64" s="10"/>
      <c r="B64" s="10" t="s">
        <v>373</v>
      </c>
      <c r="C64" s="10"/>
      <c r="D64" s="231"/>
      <c r="E64" s="221" t="s">
        <v>408</v>
      </c>
      <c r="J64" s="7"/>
      <c r="K64" s="7"/>
      <c r="L64" s="7"/>
      <c r="M64" s="7"/>
      <c r="N64" s="7"/>
      <c r="O64" s="7"/>
    </row>
    <row r="65" spans="1:15" ht="14.25" customHeight="1" thickBot="1" x14ac:dyDescent="0.4">
      <c r="A65" s="10" t="s">
        <v>373</v>
      </c>
      <c r="B65" s="10"/>
      <c r="C65" s="10"/>
      <c r="D65" s="232"/>
      <c r="E65" s="221" t="s">
        <v>409</v>
      </c>
      <c r="J65" s="7"/>
      <c r="K65" s="7"/>
      <c r="L65" s="7"/>
      <c r="M65" s="7"/>
      <c r="N65" s="7"/>
      <c r="O65" s="7"/>
    </row>
    <row r="66" spans="1:15" ht="14.25" customHeight="1" x14ac:dyDescent="0.35">
      <c r="A66" s="233" t="s">
        <v>547</v>
      </c>
      <c r="B66" s="233"/>
      <c r="C66" s="233"/>
      <c r="D66" s="42"/>
      <c r="E66" s="219"/>
    </row>
    <row r="67" spans="1:15" s="1" customFormat="1" ht="73" thickBot="1" x14ac:dyDescent="0.4">
      <c r="A67" s="42" t="s">
        <v>556</v>
      </c>
      <c r="B67" s="42" t="s">
        <v>558</v>
      </c>
      <c r="C67" s="42" t="s">
        <v>557</v>
      </c>
      <c r="D67" s="42"/>
      <c r="E67" s="219"/>
    </row>
    <row r="68" spans="1:15" ht="14.25" customHeight="1" thickBot="1" x14ac:dyDescent="0.4">
      <c r="A68" s="10" t="s">
        <v>373</v>
      </c>
      <c r="B68" s="10"/>
      <c r="C68" s="10"/>
      <c r="D68" s="230" t="s">
        <v>546</v>
      </c>
      <c r="E68" s="222" t="s">
        <v>419</v>
      </c>
      <c r="F68" s="213">
        <v>1.5</v>
      </c>
      <c r="G68" s="214" t="s">
        <v>545</v>
      </c>
      <c r="H68" s="7" t="s">
        <v>562</v>
      </c>
      <c r="I68" s="7"/>
    </row>
    <row r="69" spans="1:15" ht="14.25" customHeight="1" thickBot="1" x14ac:dyDescent="0.4">
      <c r="A69" s="10" t="s">
        <v>373</v>
      </c>
      <c r="B69" s="10"/>
      <c r="C69" s="10"/>
      <c r="D69" s="231"/>
      <c r="E69" s="222" t="s">
        <v>433</v>
      </c>
      <c r="F69" s="213">
        <v>0.5</v>
      </c>
      <c r="G69" s="214" t="s">
        <v>545</v>
      </c>
      <c r="H69" s="7" t="s">
        <v>562</v>
      </c>
      <c r="I69" s="7"/>
    </row>
    <row r="70" spans="1:15" ht="14.25" customHeight="1" thickBot="1" x14ac:dyDescent="0.4">
      <c r="A70" s="10"/>
      <c r="B70" s="10" t="s">
        <v>373</v>
      </c>
      <c r="C70" s="10"/>
      <c r="D70" s="231"/>
      <c r="E70" s="222" t="s">
        <v>436</v>
      </c>
      <c r="F70" s="213">
        <v>0.25</v>
      </c>
      <c r="G70" s="214" t="s">
        <v>545</v>
      </c>
      <c r="H70" s="7" t="s">
        <v>562</v>
      </c>
      <c r="I70" s="7"/>
    </row>
    <row r="71" spans="1:15" ht="15.75" customHeight="1" thickBot="1" x14ac:dyDescent="0.4">
      <c r="A71" s="10"/>
      <c r="B71" s="10"/>
      <c r="C71" s="10" t="s">
        <v>373</v>
      </c>
      <c r="D71" s="231"/>
      <c r="E71" s="222" t="s">
        <v>447</v>
      </c>
      <c r="F71" s="213">
        <v>0.5</v>
      </c>
      <c r="G71" s="214" t="s">
        <v>545</v>
      </c>
      <c r="H71" s="7"/>
      <c r="I71" s="7"/>
    </row>
    <row r="72" spans="1:15" ht="14.25" customHeight="1" thickBot="1" x14ac:dyDescent="0.4">
      <c r="A72" s="10" t="s">
        <v>373</v>
      </c>
      <c r="B72" s="10"/>
      <c r="C72" s="10"/>
      <c r="D72" s="231"/>
      <c r="E72" s="222" t="s">
        <v>474</v>
      </c>
      <c r="F72" s="213">
        <v>1</v>
      </c>
      <c r="G72" s="214" t="s">
        <v>545</v>
      </c>
      <c r="H72" s="7"/>
      <c r="I72" s="7"/>
    </row>
    <row r="73" spans="1:15" ht="14.25" customHeight="1" thickBot="1" x14ac:dyDescent="0.4">
      <c r="A73" s="10"/>
      <c r="B73" s="10"/>
      <c r="C73" s="10" t="s">
        <v>373</v>
      </c>
      <c r="D73" s="231"/>
      <c r="E73" s="222" t="s">
        <v>481</v>
      </c>
      <c r="F73" s="213">
        <v>0.25</v>
      </c>
      <c r="G73" s="214" t="s">
        <v>545</v>
      </c>
      <c r="H73" s="7"/>
      <c r="I73" s="7"/>
    </row>
    <row r="74" spans="1:15" ht="14.25" customHeight="1" thickBot="1" x14ac:dyDescent="0.4">
      <c r="A74" s="10"/>
      <c r="B74" s="10"/>
      <c r="C74" s="10" t="s">
        <v>373</v>
      </c>
      <c r="D74" s="231"/>
      <c r="E74" s="222" t="s">
        <v>471</v>
      </c>
      <c r="F74" s="213">
        <v>2</v>
      </c>
      <c r="G74" s="214" t="s">
        <v>545</v>
      </c>
      <c r="H74" s="7"/>
      <c r="I74" s="7"/>
    </row>
    <row r="75" spans="1:15" ht="14.25" customHeight="1" thickBot="1" x14ac:dyDescent="0.4">
      <c r="A75" s="10"/>
      <c r="B75" s="10" t="s">
        <v>373</v>
      </c>
      <c r="C75" s="10"/>
      <c r="D75" s="231"/>
      <c r="E75" s="222" t="s">
        <v>501</v>
      </c>
      <c r="F75" s="213">
        <v>0.25</v>
      </c>
      <c r="G75" s="214" t="s">
        <v>545</v>
      </c>
      <c r="H75" s="7"/>
      <c r="I75" s="7"/>
    </row>
    <row r="76" spans="1:15" ht="14.25" customHeight="1" thickBot="1" x14ac:dyDescent="0.4">
      <c r="A76" s="10"/>
      <c r="B76" s="10" t="s">
        <v>373</v>
      </c>
      <c r="C76" s="10"/>
      <c r="D76" s="231"/>
      <c r="E76" s="222" t="s">
        <v>504</v>
      </c>
      <c r="F76" s="213">
        <v>0.25</v>
      </c>
      <c r="G76" s="214" t="s">
        <v>545</v>
      </c>
      <c r="H76" s="7"/>
      <c r="I76" s="7"/>
    </row>
    <row r="77" spans="1:15" ht="14.25" customHeight="1" x14ac:dyDescent="0.35">
      <c r="A77" s="10" t="s">
        <v>373</v>
      </c>
      <c r="B77" s="10"/>
      <c r="C77" s="10"/>
      <c r="D77" s="231"/>
      <c r="E77" s="223" t="s">
        <v>519</v>
      </c>
      <c r="F77" s="235">
        <v>0.5</v>
      </c>
      <c r="G77" s="215" t="s">
        <v>545</v>
      </c>
      <c r="H77" s="7"/>
      <c r="I77" s="7"/>
    </row>
    <row r="78" spans="1:15" ht="14.25" customHeight="1" thickBot="1" x14ac:dyDescent="0.4">
      <c r="A78" s="10" t="s">
        <v>373</v>
      </c>
      <c r="B78" s="10"/>
      <c r="C78" s="10"/>
      <c r="D78" s="232"/>
      <c r="E78" s="224" t="s">
        <v>522</v>
      </c>
      <c r="F78" s="236"/>
      <c r="G78" s="216" t="s">
        <v>545</v>
      </c>
      <c r="H78" s="7"/>
      <c r="I78" s="7"/>
    </row>
    <row r="79" spans="1:15" ht="14.25" customHeight="1" x14ac:dyDescent="0.35">
      <c r="A79" s="10"/>
      <c r="B79" s="10"/>
      <c r="C79" s="10"/>
      <c r="D79" s="42"/>
      <c r="E79" s="43"/>
    </row>
    <row r="80" spans="1:15" ht="14.25" customHeight="1" x14ac:dyDescent="0.35">
      <c r="A80" s="10"/>
      <c r="B80" s="10"/>
      <c r="C80" s="10"/>
      <c r="D80" s="234" t="s">
        <v>548</v>
      </c>
      <c r="E80" s="43" t="s">
        <v>549</v>
      </c>
      <c r="J80">
        <v>2</v>
      </c>
      <c r="K80">
        <v>2</v>
      </c>
      <c r="L80">
        <v>2</v>
      </c>
      <c r="M80">
        <v>2</v>
      </c>
      <c r="N80">
        <v>2</v>
      </c>
      <c r="O80">
        <v>2</v>
      </c>
    </row>
    <row r="81" spans="1:16" ht="14.25" customHeight="1" x14ac:dyDescent="0.35">
      <c r="A81" s="10"/>
      <c r="B81" s="10"/>
      <c r="C81" s="10"/>
      <c r="D81" s="234"/>
      <c r="E81" s="212" t="s">
        <v>550</v>
      </c>
      <c r="J81">
        <v>4</v>
      </c>
      <c r="K81">
        <v>4</v>
      </c>
      <c r="L81">
        <v>4</v>
      </c>
      <c r="M81">
        <v>4</v>
      </c>
      <c r="N81">
        <v>4</v>
      </c>
      <c r="O81">
        <v>4</v>
      </c>
    </row>
    <row r="82" spans="1:16" ht="13.5" customHeight="1" x14ac:dyDescent="0.35">
      <c r="A82" s="10"/>
      <c r="B82" s="10"/>
      <c r="C82" s="10"/>
      <c r="D82" s="234"/>
      <c r="E82" s="212" t="s">
        <v>551</v>
      </c>
      <c r="J82">
        <v>8</v>
      </c>
      <c r="K82">
        <v>8</v>
      </c>
      <c r="L82">
        <v>8</v>
      </c>
      <c r="M82">
        <v>8</v>
      </c>
      <c r="N82">
        <v>8</v>
      </c>
      <c r="O82">
        <v>8</v>
      </c>
    </row>
    <row r="83" spans="1:16" ht="13.5" customHeight="1" x14ac:dyDescent="0.35">
      <c r="A83" s="10"/>
      <c r="B83" s="10"/>
      <c r="C83" s="10"/>
      <c r="D83" s="234"/>
      <c r="E83" s="212" t="s">
        <v>552</v>
      </c>
      <c r="J83">
        <v>1</v>
      </c>
      <c r="K83">
        <v>1</v>
      </c>
      <c r="L83">
        <v>1</v>
      </c>
      <c r="M83">
        <v>1</v>
      </c>
      <c r="N83">
        <v>1</v>
      </c>
      <c r="O83">
        <v>1</v>
      </c>
    </row>
    <row r="84" spans="1:16" ht="13.5" customHeight="1" x14ac:dyDescent="0.35">
      <c r="A84" s="10"/>
      <c r="B84" s="10"/>
      <c r="C84" s="10"/>
      <c r="D84" s="234"/>
      <c r="E84" s="212" t="s">
        <v>553</v>
      </c>
      <c r="J84">
        <v>1</v>
      </c>
      <c r="K84">
        <v>1</v>
      </c>
      <c r="L84">
        <v>1</v>
      </c>
      <c r="M84">
        <v>1</v>
      </c>
      <c r="N84">
        <v>1</v>
      </c>
      <c r="O84">
        <v>1</v>
      </c>
    </row>
    <row r="85" spans="1:16" ht="13.5" customHeight="1" x14ac:dyDescent="0.35">
      <c r="A85" s="10"/>
      <c r="B85" s="10"/>
      <c r="C85" s="10"/>
      <c r="D85" s="234"/>
      <c r="E85" s="212" t="s">
        <v>554</v>
      </c>
      <c r="J85">
        <v>2</v>
      </c>
      <c r="K85">
        <v>2</v>
      </c>
      <c r="L85">
        <v>2</v>
      </c>
      <c r="M85">
        <v>2</v>
      </c>
      <c r="N85">
        <v>2</v>
      </c>
      <c r="O85">
        <v>2</v>
      </c>
    </row>
    <row r="86" spans="1:16" ht="13.5" customHeight="1" x14ac:dyDescent="0.35">
      <c r="A86" s="10"/>
      <c r="B86" s="10"/>
      <c r="C86" s="10"/>
      <c r="D86" s="42"/>
      <c r="E86" s="185"/>
    </row>
    <row r="87" spans="1:16" ht="13.5" customHeight="1" x14ac:dyDescent="0.35">
      <c r="A87" s="10"/>
      <c r="B87" s="10"/>
      <c r="C87" s="10"/>
      <c r="D87" s="42"/>
      <c r="E87" s="185"/>
    </row>
    <row r="88" spans="1:16" ht="13.5" customHeight="1" x14ac:dyDescent="0.35">
      <c r="A88" s="10"/>
      <c r="B88" s="10"/>
      <c r="C88" s="10"/>
      <c r="D88" s="42"/>
      <c r="E88" s="185"/>
    </row>
    <row r="89" spans="1:16" ht="13.5" customHeight="1" x14ac:dyDescent="0.35">
      <c r="A89" s="10"/>
      <c r="B89" s="10"/>
      <c r="C89" s="10"/>
      <c r="D89" s="42"/>
      <c r="E89" s="185"/>
    </row>
    <row r="90" spans="1:16" ht="13.5" customHeight="1" x14ac:dyDescent="0.35">
      <c r="A90" s="10"/>
      <c r="B90" s="10"/>
      <c r="C90" s="10"/>
      <c r="D90" s="42"/>
      <c r="E90" s="185"/>
    </row>
    <row r="91" spans="1:16" ht="41.25" customHeight="1" x14ac:dyDescent="0.35">
      <c r="A91" s="10"/>
      <c r="B91" s="10"/>
      <c r="C91" s="10"/>
      <c r="D91" s="42"/>
      <c r="E91" s="43"/>
      <c r="P91" s="7"/>
    </row>
    <row r="92" spans="1:16" ht="11.15" customHeight="1" thickBot="1" x14ac:dyDescent="0.4">
      <c r="A92" s="10"/>
      <c r="B92" s="10"/>
      <c r="C92" s="10"/>
      <c r="D92" s="42"/>
      <c r="E92" s="43"/>
    </row>
    <row r="93" spans="1:16" ht="57.75" customHeight="1" thickBot="1" x14ac:dyDescent="0.4">
      <c r="A93" s="10"/>
      <c r="B93" s="10"/>
      <c r="C93" s="10"/>
      <c r="D93" s="42"/>
      <c r="E93" s="44"/>
      <c r="F93" s="79"/>
      <c r="G93" s="80"/>
      <c r="H93" s="43"/>
      <c r="I93" s="43"/>
      <c r="J93" s="25"/>
      <c r="K93" s="25"/>
      <c r="L93" s="25"/>
      <c r="M93" s="25"/>
      <c r="N93" s="25"/>
      <c r="O93" s="25"/>
    </row>
    <row r="94" spans="1:16" ht="18" customHeight="1" thickBot="1" x14ac:dyDescent="0.4">
      <c r="A94" s="38"/>
      <c r="B94" s="38"/>
      <c r="C94" s="38"/>
      <c r="D94" s="42"/>
      <c r="E94" s="29"/>
    </row>
    <row r="95" spans="1:16" ht="45" customHeight="1" thickBot="1" x14ac:dyDescent="0.4">
      <c r="A95" s="10"/>
      <c r="B95" s="10"/>
      <c r="C95" s="10"/>
      <c r="D95" s="42"/>
      <c r="E95" s="44"/>
      <c r="H95" s="80"/>
      <c r="I95" s="80"/>
      <c r="J95" s="25"/>
      <c r="K95" s="25"/>
      <c r="L95" s="25"/>
      <c r="M95" s="25"/>
      <c r="N95" s="25"/>
      <c r="O95" s="25"/>
    </row>
    <row r="96" spans="1:16" ht="11.15" customHeight="1" x14ac:dyDescent="0.35">
      <c r="A96" s="10"/>
      <c r="B96" s="10"/>
      <c r="C96" s="10"/>
      <c r="D96" s="42"/>
      <c r="E96" s="29"/>
    </row>
    <row r="97" spans="1:17" ht="30" customHeight="1" x14ac:dyDescent="0.35">
      <c r="A97" s="10"/>
      <c r="B97" s="10"/>
      <c r="C97" s="183"/>
      <c r="D97" s="42"/>
      <c r="E97" s="29"/>
      <c r="J97" s="13"/>
      <c r="K97" s="13"/>
      <c r="L97" s="13"/>
      <c r="M97" s="13"/>
      <c r="N97" s="13"/>
      <c r="O97" s="13"/>
      <c r="P97" s="13"/>
    </row>
    <row r="98" spans="1:17" ht="11.15" customHeight="1" x14ac:dyDescent="0.35">
      <c r="A98" s="10"/>
      <c r="B98" s="10"/>
      <c r="C98" s="10"/>
      <c r="D98" s="42"/>
      <c r="E98" s="29"/>
    </row>
    <row r="99" spans="1:17" ht="75" customHeight="1" x14ac:dyDescent="0.35">
      <c r="A99" s="46"/>
      <c r="B99" s="10"/>
      <c r="C99" s="184"/>
      <c r="D99" s="47"/>
      <c r="E99" s="48"/>
      <c r="J99" s="13"/>
      <c r="K99" s="13"/>
      <c r="L99" s="13"/>
      <c r="M99" s="13"/>
      <c r="N99" s="13"/>
      <c r="O99" s="13"/>
      <c r="Q99" s="34"/>
    </row>
    <row r="100" spans="1:17" ht="11.15" customHeight="1" x14ac:dyDescent="0.35">
      <c r="A100" s="38"/>
      <c r="B100" s="38"/>
      <c r="C100" s="38"/>
      <c r="D100" s="39"/>
      <c r="E100" s="29"/>
      <c r="P100" s="30"/>
    </row>
    <row r="101" spans="1:17" ht="30" customHeight="1" x14ac:dyDescent="0.35">
      <c r="A101" s="10"/>
      <c r="B101" s="10"/>
      <c r="C101" s="10"/>
      <c r="D101" s="42"/>
      <c r="E101" s="29"/>
      <c r="J101" s="13"/>
      <c r="K101" s="13"/>
      <c r="L101" s="13"/>
      <c r="M101" s="13"/>
      <c r="N101" s="13"/>
      <c r="O101" s="13"/>
      <c r="Q101" s="35"/>
    </row>
    <row r="102" spans="1:17" ht="11.15" customHeight="1" x14ac:dyDescent="0.35">
      <c r="A102" s="10"/>
      <c r="B102" s="10"/>
      <c r="C102" s="10"/>
      <c r="D102" s="42"/>
      <c r="E102" s="29"/>
      <c r="Q102" s="36"/>
    </row>
    <row r="103" spans="1:17" ht="30" customHeight="1" x14ac:dyDescent="0.35">
      <c r="A103" s="10"/>
      <c r="B103" s="10"/>
      <c r="C103" s="10"/>
      <c r="D103" s="42"/>
      <c r="E103" s="29"/>
      <c r="J103" s="13"/>
      <c r="K103" s="13"/>
      <c r="L103" s="13"/>
      <c r="M103" s="13"/>
      <c r="N103" s="13"/>
      <c r="O103" s="13"/>
    </row>
    <row r="104" spans="1:17" ht="11.15" customHeight="1" x14ac:dyDescent="0.35">
      <c r="A104" s="10"/>
      <c r="B104" s="10"/>
      <c r="C104" s="10"/>
      <c r="D104" s="42"/>
      <c r="E104" s="29"/>
      <c r="J104" s="8"/>
    </row>
    <row r="105" spans="1:17" ht="36" customHeight="1" x14ac:dyDescent="0.35">
      <c r="A105" s="10"/>
      <c r="B105" s="10"/>
      <c r="C105" s="10"/>
      <c r="D105" s="10"/>
      <c r="E105" s="29"/>
      <c r="J105" s="13"/>
      <c r="K105" s="13"/>
      <c r="L105" s="13"/>
      <c r="M105" s="13"/>
      <c r="N105" s="13"/>
      <c r="O105" s="13"/>
    </row>
    <row r="106" spans="1:17" ht="11.15" customHeight="1" x14ac:dyDescent="0.35">
      <c r="A106" s="38"/>
      <c r="B106" s="38"/>
      <c r="C106" s="38"/>
      <c r="D106" s="39"/>
      <c r="E106" s="29"/>
    </row>
    <row r="107" spans="1:17" ht="30" customHeight="1" x14ac:dyDescent="0.35">
      <c r="A107" s="38"/>
      <c r="B107" s="38"/>
      <c r="C107" s="38"/>
      <c r="D107" s="39"/>
      <c r="E107" s="29"/>
      <c r="J107" s="13"/>
      <c r="K107" s="13"/>
      <c r="L107" s="13"/>
      <c r="M107" s="13"/>
      <c r="N107" s="13"/>
      <c r="O107" s="13"/>
    </row>
    <row r="108" spans="1:17" ht="11.15" customHeight="1" x14ac:dyDescent="0.35">
      <c r="A108" s="38"/>
      <c r="B108" s="38"/>
      <c r="C108" s="38"/>
      <c r="D108" s="39"/>
      <c r="E108" s="29"/>
    </row>
    <row r="109" spans="1:17" ht="30" customHeight="1" x14ac:dyDescent="0.35">
      <c r="A109" s="38"/>
      <c r="B109" s="38"/>
      <c r="C109" s="38"/>
      <c r="D109" s="39"/>
      <c r="E109" s="29"/>
      <c r="J109" s="13"/>
      <c r="K109" s="13"/>
      <c r="L109" s="13"/>
      <c r="M109" s="13"/>
      <c r="N109" s="13"/>
      <c r="O109" s="13"/>
    </row>
    <row r="110" spans="1:17" ht="11.15" customHeight="1" x14ac:dyDescent="0.35">
      <c r="A110" s="38"/>
      <c r="B110" s="38"/>
      <c r="C110" s="38"/>
      <c r="D110" s="39"/>
      <c r="E110" s="29"/>
    </row>
    <row r="111" spans="1:17" ht="30" customHeight="1" x14ac:dyDescent="0.35">
      <c r="A111" s="38"/>
      <c r="B111" s="38"/>
      <c r="C111" s="38"/>
      <c r="D111" s="39"/>
      <c r="E111" s="29"/>
      <c r="J111" s="13"/>
      <c r="K111" s="13"/>
      <c r="L111" s="13"/>
      <c r="M111" s="13"/>
      <c r="N111" s="13"/>
      <c r="O111" s="13"/>
    </row>
    <row r="112" spans="1:17" ht="11.15" customHeight="1" x14ac:dyDescent="0.35">
      <c r="A112" s="38"/>
      <c r="B112" s="38"/>
      <c r="C112" s="38"/>
      <c r="D112" s="39"/>
      <c r="E112" s="29"/>
    </row>
    <row r="113" spans="1:17" ht="30" customHeight="1" x14ac:dyDescent="0.35">
      <c r="A113" s="38"/>
      <c r="B113" s="10"/>
      <c r="C113" s="38"/>
      <c r="D113" s="39"/>
      <c r="E113" s="29"/>
      <c r="P113" s="14"/>
    </row>
    <row r="114" spans="1:17" ht="11.15" customHeight="1" x14ac:dyDescent="0.35">
      <c r="A114" s="38"/>
      <c r="B114" s="38"/>
      <c r="C114" s="38"/>
      <c r="D114" s="39"/>
      <c r="E114" s="29"/>
      <c r="P114" s="30"/>
    </row>
    <row r="115" spans="1:17" ht="30" customHeight="1" x14ac:dyDescent="0.35">
      <c r="A115" s="38"/>
      <c r="B115" s="38"/>
      <c r="C115" s="38"/>
      <c r="D115" s="39"/>
      <c r="E115" s="29"/>
      <c r="P115" s="14"/>
    </row>
    <row r="116" spans="1:17" ht="11.15" customHeight="1" x14ac:dyDescent="0.35">
      <c r="A116" s="38"/>
      <c r="B116" s="38"/>
      <c r="C116" s="38"/>
      <c r="D116" s="39"/>
      <c r="E116" s="29"/>
    </row>
    <row r="117" spans="1:17" ht="30" customHeight="1" x14ac:dyDescent="0.35">
      <c r="A117" s="38"/>
      <c r="B117" s="38"/>
      <c r="C117" s="38"/>
      <c r="D117" s="39"/>
      <c r="E117" s="29"/>
      <c r="Q117" s="26"/>
    </row>
    <row r="118" spans="1:17" x14ac:dyDescent="0.35">
      <c r="A118" s="9"/>
      <c r="B118" s="9"/>
      <c r="E118" s="1"/>
    </row>
    <row r="119" spans="1:17" x14ac:dyDescent="0.35">
      <c r="A119" s="9"/>
      <c r="B119" s="9"/>
      <c r="E119" s="1"/>
    </row>
    <row r="120" spans="1:17" x14ac:dyDescent="0.35">
      <c r="A120" s="9"/>
      <c r="B120" s="9"/>
      <c r="E120" s="1"/>
    </row>
    <row r="121" spans="1:17" x14ac:dyDescent="0.35">
      <c r="E121" s="1"/>
    </row>
    <row r="122" spans="1:17" x14ac:dyDescent="0.35">
      <c r="E122" s="1"/>
    </row>
    <row r="123" spans="1:17" x14ac:dyDescent="0.35">
      <c r="E123" s="1"/>
    </row>
    <row r="124" spans="1:17" x14ac:dyDescent="0.35">
      <c r="E124" s="1"/>
    </row>
    <row r="125" spans="1:17" x14ac:dyDescent="0.35">
      <c r="E125" s="1"/>
    </row>
    <row r="126" spans="1:17" x14ac:dyDescent="0.35">
      <c r="E126" s="1"/>
    </row>
    <row r="127" spans="1:17" x14ac:dyDescent="0.35">
      <c r="E127" s="1"/>
    </row>
    <row r="128" spans="1:17" x14ac:dyDescent="0.35">
      <c r="E128" s="1"/>
    </row>
    <row r="129" spans="5:5" x14ac:dyDescent="0.35">
      <c r="E129" s="1"/>
    </row>
    <row r="130" spans="5:5" x14ac:dyDescent="0.35">
      <c r="E130" s="1"/>
    </row>
    <row r="131" spans="5:5" x14ac:dyDescent="0.35">
      <c r="E131" s="1"/>
    </row>
    <row r="132" spans="5:5" x14ac:dyDescent="0.35">
      <c r="E132" s="1"/>
    </row>
    <row r="133" spans="5:5" x14ac:dyDescent="0.35">
      <c r="E133" s="1"/>
    </row>
    <row r="134" spans="5:5" x14ac:dyDescent="0.35">
      <c r="E134" s="1"/>
    </row>
    <row r="135" spans="5:5" x14ac:dyDescent="0.35">
      <c r="E135" s="1"/>
    </row>
    <row r="136" spans="5:5" x14ac:dyDescent="0.35">
      <c r="E136" s="1"/>
    </row>
  </sheetData>
  <mergeCells count="23">
    <mergeCell ref="Q2:Q5"/>
    <mergeCell ref="I7:I9"/>
    <mergeCell ref="D2:E5"/>
    <mergeCell ref="F2:I5"/>
    <mergeCell ref="P2:P5"/>
    <mergeCell ref="G6:G9"/>
    <mergeCell ref="J6:J7"/>
    <mergeCell ref="D8:E8"/>
    <mergeCell ref="F8:F9"/>
    <mergeCell ref="J2:O5"/>
    <mergeCell ref="D6:E6"/>
    <mergeCell ref="D39:D56"/>
    <mergeCell ref="B23:C23"/>
    <mergeCell ref="A40:C40"/>
    <mergeCell ref="A41:C41"/>
    <mergeCell ref="A39:C39"/>
    <mergeCell ref="A44:C44"/>
    <mergeCell ref="D25:D37"/>
    <mergeCell ref="D68:D78"/>
    <mergeCell ref="A66:C66"/>
    <mergeCell ref="D80:D85"/>
    <mergeCell ref="F77:F78"/>
    <mergeCell ref="D58:D65"/>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C687-146D-4B3D-B3E5-CECC524EBB84}">
  <sheetPr filterMode="1">
    <tabColor rgb="FFFFC000"/>
  </sheetPr>
  <dimension ref="A1:H68"/>
  <sheetViews>
    <sheetView tabSelected="1" zoomScale="80" zoomScaleNormal="80" workbookViewId="0">
      <selection activeCell="H3" sqref="H3:H11"/>
    </sheetView>
  </sheetViews>
  <sheetFormatPr defaultRowHeight="14.5" x14ac:dyDescent="0.35"/>
  <cols>
    <col min="1" max="1" width="8.6328125" bestFit="1" customWidth="1"/>
    <col min="2" max="2" width="36.90625" bestFit="1" customWidth="1"/>
    <col min="3" max="3" width="39.54296875" bestFit="1" customWidth="1"/>
    <col min="4" max="4" width="9.81640625" bestFit="1" customWidth="1"/>
    <col min="5" max="5" width="7.36328125" bestFit="1" customWidth="1"/>
    <col min="6" max="6" width="31.6328125" bestFit="1" customWidth="1"/>
    <col min="7" max="7" width="41.54296875" bestFit="1" customWidth="1"/>
    <col min="8" max="8" width="32.26953125" bestFit="1" customWidth="1"/>
  </cols>
  <sheetData>
    <row r="1" spans="1:8" ht="15" thickBot="1" x14ac:dyDescent="0.4"/>
    <row r="2" spans="1:8" ht="15" thickBot="1" x14ac:dyDescent="0.4">
      <c r="A2" s="187" t="s">
        <v>412</v>
      </c>
      <c r="B2" s="188" t="s">
        <v>413</v>
      </c>
      <c r="C2" s="188" t="s">
        <v>414</v>
      </c>
      <c r="D2" s="189" t="s">
        <v>415</v>
      </c>
      <c r="E2" s="189" t="s">
        <v>415</v>
      </c>
      <c r="F2" s="188" t="s">
        <v>416</v>
      </c>
      <c r="G2" s="188" t="s">
        <v>417</v>
      </c>
      <c r="H2" s="188" t="s">
        <v>418</v>
      </c>
    </row>
    <row r="3" spans="1:8" ht="23" x14ac:dyDescent="0.35">
      <c r="A3" s="270">
        <v>1</v>
      </c>
      <c r="B3" s="283" t="s">
        <v>419</v>
      </c>
      <c r="C3" s="191" t="s">
        <v>420</v>
      </c>
      <c r="D3" s="274" t="s">
        <v>429</v>
      </c>
      <c r="E3" s="274">
        <v>2</v>
      </c>
      <c r="F3" s="275" t="s">
        <v>430</v>
      </c>
      <c r="G3" s="274" t="s">
        <v>565</v>
      </c>
      <c r="H3" s="274" t="s">
        <v>432</v>
      </c>
    </row>
    <row r="4" spans="1:8" x14ac:dyDescent="0.35">
      <c r="A4" s="278"/>
      <c r="B4" s="295"/>
      <c r="C4" s="192" t="s">
        <v>421</v>
      </c>
      <c r="D4" s="268"/>
      <c r="E4" s="268"/>
      <c r="F4" s="296"/>
      <c r="G4" s="268"/>
      <c r="H4" s="268"/>
    </row>
    <row r="5" spans="1:8" x14ac:dyDescent="0.35">
      <c r="A5" s="278"/>
      <c r="B5" s="295"/>
      <c r="C5" s="192" t="s">
        <v>422</v>
      </c>
      <c r="D5" s="268"/>
      <c r="E5" s="268"/>
      <c r="F5" s="296"/>
      <c r="G5" s="268"/>
      <c r="H5" s="268"/>
    </row>
    <row r="6" spans="1:8" x14ac:dyDescent="0.35">
      <c r="A6" s="278"/>
      <c r="B6" s="295"/>
      <c r="C6" s="192" t="s">
        <v>423</v>
      </c>
      <c r="D6" s="268"/>
      <c r="E6" s="268"/>
      <c r="F6" s="296"/>
      <c r="G6" s="268"/>
      <c r="H6" s="268"/>
    </row>
    <row r="7" spans="1:8" x14ac:dyDescent="0.35">
      <c r="A7" s="278"/>
      <c r="B7" s="295"/>
      <c r="C7" s="192" t="s">
        <v>424</v>
      </c>
      <c r="D7" s="268"/>
      <c r="E7" s="268"/>
      <c r="F7" s="296"/>
      <c r="G7" s="268"/>
      <c r="H7" s="268"/>
    </row>
    <row r="8" spans="1:8" x14ac:dyDescent="0.35">
      <c r="A8" s="278"/>
      <c r="B8" s="295"/>
      <c r="C8" s="192" t="s">
        <v>425</v>
      </c>
      <c r="D8" s="268"/>
      <c r="E8" s="268"/>
      <c r="F8" s="296"/>
      <c r="G8" s="268"/>
      <c r="H8" s="268"/>
    </row>
    <row r="9" spans="1:8" x14ac:dyDescent="0.35">
      <c r="A9" s="278"/>
      <c r="B9" s="295"/>
      <c r="C9" s="192" t="s">
        <v>426</v>
      </c>
      <c r="D9" s="268"/>
      <c r="E9" s="268"/>
      <c r="F9" s="296"/>
      <c r="G9" s="268"/>
      <c r="H9" s="268"/>
    </row>
    <row r="10" spans="1:8" x14ac:dyDescent="0.35">
      <c r="A10" s="278"/>
      <c r="B10" s="295"/>
      <c r="C10" s="192" t="s">
        <v>427</v>
      </c>
      <c r="D10" s="268"/>
      <c r="E10" s="268"/>
      <c r="F10" s="296"/>
      <c r="G10" s="268"/>
      <c r="H10" s="268"/>
    </row>
    <row r="11" spans="1:8" ht="23.5" thickBot="1" x14ac:dyDescent="0.4">
      <c r="A11" s="271"/>
      <c r="B11" s="284"/>
      <c r="C11" s="193" t="s">
        <v>428</v>
      </c>
      <c r="D11" s="269"/>
      <c r="E11" s="269"/>
      <c r="F11" s="276"/>
      <c r="G11" s="269"/>
      <c r="H11" s="269"/>
    </row>
    <row r="12" spans="1:8" ht="23" x14ac:dyDescent="0.35">
      <c r="A12" s="270">
        <v>2</v>
      </c>
      <c r="B12" s="283" t="s">
        <v>433</v>
      </c>
      <c r="C12" s="192" t="s">
        <v>420</v>
      </c>
      <c r="D12" s="274" t="s">
        <v>435</v>
      </c>
      <c r="E12" s="274">
        <v>0.5</v>
      </c>
      <c r="F12" s="275" t="s">
        <v>430</v>
      </c>
      <c r="G12" s="274" t="s">
        <v>565</v>
      </c>
      <c r="H12" s="274" t="s">
        <v>432</v>
      </c>
    </row>
    <row r="13" spans="1:8" ht="15" thickBot="1" x14ac:dyDescent="0.4">
      <c r="A13" s="271"/>
      <c r="B13" s="284"/>
      <c r="C13" s="193" t="s">
        <v>434</v>
      </c>
      <c r="D13" s="269"/>
      <c r="E13" s="269"/>
      <c r="F13" s="276"/>
      <c r="G13" s="269"/>
      <c r="H13" s="269"/>
    </row>
    <row r="14" spans="1:8" x14ac:dyDescent="0.35">
      <c r="A14" s="270">
        <v>3</v>
      </c>
      <c r="B14" s="272" t="s">
        <v>436</v>
      </c>
      <c r="C14" s="192" t="s">
        <v>437</v>
      </c>
      <c r="D14" s="274" t="s">
        <v>445</v>
      </c>
      <c r="E14" s="274">
        <v>0.25</v>
      </c>
      <c r="F14" s="275" t="s">
        <v>430</v>
      </c>
      <c r="G14" s="274" t="s">
        <v>561</v>
      </c>
      <c r="H14" s="274" t="s">
        <v>432</v>
      </c>
    </row>
    <row r="15" spans="1:8" x14ac:dyDescent="0.35">
      <c r="A15" s="278"/>
      <c r="B15" s="280"/>
      <c r="C15" s="192" t="s">
        <v>438</v>
      </c>
      <c r="D15" s="268"/>
      <c r="E15" s="268"/>
      <c r="F15" s="296"/>
      <c r="G15" s="268"/>
      <c r="H15" s="268"/>
    </row>
    <row r="16" spans="1:8" x14ac:dyDescent="0.35">
      <c r="A16" s="278"/>
      <c r="B16" s="280"/>
      <c r="C16" s="192" t="s">
        <v>439</v>
      </c>
      <c r="D16" s="268"/>
      <c r="E16" s="268"/>
      <c r="F16" s="296"/>
      <c r="G16" s="268"/>
      <c r="H16" s="268"/>
    </row>
    <row r="17" spans="1:8" x14ac:dyDescent="0.35">
      <c r="A17" s="278"/>
      <c r="B17" s="280"/>
      <c r="C17" s="192" t="s">
        <v>440</v>
      </c>
      <c r="D17" s="268"/>
      <c r="E17" s="268"/>
      <c r="F17" s="296"/>
      <c r="G17" s="268"/>
      <c r="H17" s="268"/>
    </row>
    <row r="18" spans="1:8" ht="23" x14ac:dyDescent="0.35">
      <c r="A18" s="278"/>
      <c r="B18" s="280"/>
      <c r="C18" s="192" t="s">
        <v>441</v>
      </c>
      <c r="D18" s="268"/>
      <c r="E18" s="268"/>
      <c r="F18" s="296"/>
      <c r="G18" s="268"/>
      <c r="H18" s="268"/>
    </row>
    <row r="19" spans="1:8" ht="23" x14ac:dyDescent="0.35">
      <c r="A19" s="278"/>
      <c r="B19" s="280"/>
      <c r="C19" s="192" t="s">
        <v>442</v>
      </c>
      <c r="D19" s="268"/>
      <c r="E19" s="268"/>
      <c r="F19" s="296"/>
      <c r="G19" s="268"/>
      <c r="H19" s="268"/>
    </row>
    <row r="20" spans="1:8" ht="23" x14ac:dyDescent="0.35">
      <c r="A20" s="278"/>
      <c r="B20" s="280"/>
      <c r="C20" s="192" t="s">
        <v>443</v>
      </c>
      <c r="D20" s="268"/>
      <c r="E20" s="268"/>
      <c r="F20" s="296"/>
      <c r="G20" s="268"/>
      <c r="H20" s="268"/>
    </row>
    <row r="21" spans="1:8" ht="23.5" thickBot="1" x14ac:dyDescent="0.4">
      <c r="A21" s="271"/>
      <c r="B21" s="273"/>
      <c r="C21" s="193" t="s">
        <v>444</v>
      </c>
      <c r="D21" s="269"/>
      <c r="E21" s="269"/>
      <c r="F21" s="276"/>
      <c r="G21" s="269"/>
      <c r="H21" s="269"/>
    </row>
    <row r="22" spans="1:8" x14ac:dyDescent="0.35">
      <c r="A22" s="270">
        <v>4</v>
      </c>
      <c r="B22" s="272" t="s">
        <v>447</v>
      </c>
      <c r="C22" s="192" t="s">
        <v>448</v>
      </c>
      <c r="D22" s="274" t="s">
        <v>435</v>
      </c>
      <c r="E22" s="274">
        <v>0.5</v>
      </c>
      <c r="F22" s="297" t="s">
        <v>453</v>
      </c>
      <c r="G22" s="274" t="s">
        <v>566</v>
      </c>
      <c r="H22" s="274" t="s">
        <v>432</v>
      </c>
    </row>
    <row r="23" spans="1:8" ht="23" x14ac:dyDescent="0.35">
      <c r="A23" s="278"/>
      <c r="B23" s="280"/>
      <c r="C23" s="192" t="s">
        <v>449</v>
      </c>
      <c r="D23" s="268"/>
      <c r="E23" s="268"/>
      <c r="F23" s="298"/>
      <c r="G23" s="268"/>
      <c r="H23" s="268"/>
    </row>
    <row r="24" spans="1:8" x14ac:dyDescent="0.35">
      <c r="A24" s="278"/>
      <c r="B24" s="280"/>
      <c r="C24" s="192" t="s">
        <v>450</v>
      </c>
      <c r="D24" s="268"/>
      <c r="E24" s="268"/>
      <c r="F24" s="298"/>
      <c r="G24" s="268"/>
      <c r="H24" s="268"/>
    </row>
    <row r="25" spans="1:8" x14ac:dyDescent="0.35">
      <c r="A25" s="278"/>
      <c r="B25" s="280"/>
      <c r="C25" s="192" t="s">
        <v>451</v>
      </c>
      <c r="D25" s="268"/>
      <c r="E25" s="268"/>
      <c r="F25" s="298"/>
      <c r="G25" s="268"/>
      <c r="H25" s="268"/>
    </row>
    <row r="26" spans="1:8" ht="15" thickBot="1" x14ac:dyDescent="0.4">
      <c r="A26" s="271"/>
      <c r="B26" s="273"/>
      <c r="C26" s="193" t="s">
        <v>452</v>
      </c>
      <c r="D26" s="269"/>
      <c r="E26" s="269"/>
      <c r="F26" s="299"/>
      <c r="G26" s="269"/>
      <c r="H26" s="269"/>
    </row>
    <row r="27" spans="1:8" x14ac:dyDescent="0.35">
      <c r="A27" s="270">
        <v>5</v>
      </c>
      <c r="B27" s="272" t="s">
        <v>454</v>
      </c>
      <c r="C27" s="192" t="s">
        <v>455</v>
      </c>
      <c r="D27" s="274" t="s">
        <v>435</v>
      </c>
      <c r="E27" s="274">
        <v>0.5</v>
      </c>
      <c r="F27" s="274" t="s">
        <v>459</v>
      </c>
      <c r="G27" s="274" t="s">
        <v>565</v>
      </c>
      <c r="H27" s="274" t="s">
        <v>460</v>
      </c>
    </row>
    <row r="28" spans="1:8" x14ac:dyDescent="0.35">
      <c r="A28" s="278"/>
      <c r="B28" s="280"/>
      <c r="C28" s="192" t="s">
        <v>456</v>
      </c>
      <c r="D28" s="268"/>
      <c r="E28" s="268"/>
      <c r="F28" s="268"/>
      <c r="G28" s="268"/>
      <c r="H28" s="268"/>
    </row>
    <row r="29" spans="1:8" x14ac:dyDescent="0.35">
      <c r="A29" s="278"/>
      <c r="B29" s="280"/>
      <c r="C29" s="192" t="s">
        <v>457</v>
      </c>
      <c r="D29" s="268"/>
      <c r="E29" s="268"/>
      <c r="F29" s="268"/>
      <c r="G29" s="268"/>
      <c r="H29" s="268"/>
    </row>
    <row r="30" spans="1:8" ht="15" thickBot="1" x14ac:dyDescent="0.4">
      <c r="A30" s="271"/>
      <c r="B30" s="273"/>
      <c r="C30" s="193" t="s">
        <v>458</v>
      </c>
      <c r="D30" s="269"/>
      <c r="E30" s="269"/>
      <c r="F30" s="269"/>
      <c r="G30" s="269"/>
      <c r="H30" s="269"/>
    </row>
    <row r="31" spans="1:8" x14ac:dyDescent="0.35">
      <c r="A31" s="270">
        <v>6</v>
      </c>
      <c r="B31" s="283" t="s">
        <v>461</v>
      </c>
      <c r="C31" s="192" t="s">
        <v>462</v>
      </c>
      <c r="D31" s="274" t="s">
        <v>435</v>
      </c>
      <c r="E31" s="274">
        <v>0.5</v>
      </c>
      <c r="F31" s="274" t="s">
        <v>466</v>
      </c>
      <c r="G31" s="274" t="s">
        <v>565</v>
      </c>
      <c r="H31" s="274" t="s">
        <v>460</v>
      </c>
    </row>
    <row r="32" spans="1:8" x14ac:dyDescent="0.35">
      <c r="A32" s="278"/>
      <c r="B32" s="295"/>
      <c r="C32" s="192" t="s">
        <v>463</v>
      </c>
      <c r="D32" s="268"/>
      <c r="E32" s="268"/>
      <c r="F32" s="268"/>
      <c r="G32" s="268"/>
      <c r="H32" s="268"/>
    </row>
    <row r="33" spans="1:8" x14ac:dyDescent="0.35">
      <c r="A33" s="278"/>
      <c r="B33" s="295"/>
      <c r="C33" s="192" t="s">
        <v>464</v>
      </c>
      <c r="D33" s="268"/>
      <c r="E33" s="268"/>
      <c r="F33" s="268"/>
      <c r="G33" s="268"/>
      <c r="H33" s="268"/>
    </row>
    <row r="34" spans="1:8" ht="15" thickBot="1" x14ac:dyDescent="0.4">
      <c r="A34" s="271"/>
      <c r="B34" s="284"/>
      <c r="C34" s="193" t="s">
        <v>465</v>
      </c>
      <c r="D34" s="269"/>
      <c r="E34" s="269"/>
      <c r="F34" s="269"/>
      <c r="G34" s="269"/>
      <c r="H34" s="269"/>
    </row>
    <row r="35" spans="1:8" ht="23.5" thickBot="1" x14ac:dyDescent="0.4">
      <c r="A35" s="202">
        <v>7</v>
      </c>
      <c r="B35" s="203" t="s">
        <v>467</v>
      </c>
      <c r="C35" s="203" t="s">
        <v>468</v>
      </c>
      <c r="D35" s="204" t="s">
        <v>435</v>
      </c>
      <c r="E35" s="204">
        <v>0.5</v>
      </c>
      <c r="F35" s="204" t="s">
        <v>469</v>
      </c>
      <c r="G35" s="204" t="s">
        <v>431</v>
      </c>
      <c r="H35" s="204" t="s">
        <v>470</v>
      </c>
    </row>
    <row r="36" spans="1:8" x14ac:dyDescent="0.35">
      <c r="A36" s="270">
        <v>8</v>
      </c>
      <c r="B36" s="200" t="s">
        <v>471</v>
      </c>
      <c r="C36" s="290" t="s">
        <v>472</v>
      </c>
      <c r="D36" s="274" t="s">
        <v>473</v>
      </c>
      <c r="E36" s="290">
        <v>2</v>
      </c>
      <c r="F36" s="274" t="s">
        <v>560</v>
      </c>
      <c r="G36" s="274" t="s">
        <v>565</v>
      </c>
      <c r="H36" s="274" t="s">
        <v>460</v>
      </c>
    </row>
    <row r="37" spans="1:8" ht="15" thickBot="1" x14ac:dyDescent="0.4">
      <c r="A37" s="271"/>
      <c r="B37" s="201"/>
      <c r="C37" s="291"/>
      <c r="D37" s="269"/>
      <c r="E37" s="291"/>
      <c r="F37" s="269"/>
      <c r="G37" s="269"/>
      <c r="H37" s="269"/>
    </row>
    <row r="38" spans="1:8" ht="23" x14ac:dyDescent="0.35">
      <c r="A38" s="270">
        <v>9</v>
      </c>
      <c r="B38" s="272" t="s">
        <v>474</v>
      </c>
      <c r="C38" s="192" t="s">
        <v>475</v>
      </c>
      <c r="D38" s="274" t="s">
        <v>479</v>
      </c>
      <c r="E38" s="274">
        <v>1</v>
      </c>
      <c r="F38" s="292" t="s">
        <v>480</v>
      </c>
      <c r="G38" s="274" t="s">
        <v>431</v>
      </c>
      <c r="H38" s="274" t="s">
        <v>460</v>
      </c>
    </row>
    <row r="39" spans="1:8" ht="23" x14ac:dyDescent="0.35">
      <c r="A39" s="278"/>
      <c r="B39" s="280"/>
      <c r="C39" s="192" t="s">
        <v>476</v>
      </c>
      <c r="D39" s="268"/>
      <c r="E39" s="268"/>
      <c r="F39" s="293"/>
      <c r="G39" s="268"/>
      <c r="H39" s="268"/>
    </row>
    <row r="40" spans="1:8" x14ac:dyDescent="0.35">
      <c r="A40" s="278"/>
      <c r="B40" s="280"/>
      <c r="C40" s="192" t="s">
        <v>477</v>
      </c>
      <c r="D40" s="268"/>
      <c r="E40" s="268"/>
      <c r="F40" s="293"/>
      <c r="G40" s="268"/>
      <c r="H40" s="268"/>
    </row>
    <row r="41" spans="1:8" ht="15" thickBot="1" x14ac:dyDescent="0.4">
      <c r="A41" s="271"/>
      <c r="B41" s="273"/>
      <c r="C41" s="193" t="s">
        <v>478</v>
      </c>
      <c r="D41" s="269"/>
      <c r="E41" s="269"/>
      <c r="F41" s="294"/>
      <c r="G41" s="269"/>
      <c r="H41" s="269"/>
    </row>
    <row r="42" spans="1:8" ht="23.5" thickBot="1" x14ac:dyDescent="0.4">
      <c r="A42" s="194">
        <v>10</v>
      </c>
      <c r="B42" s="193" t="s">
        <v>481</v>
      </c>
      <c r="C42" s="193" t="s">
        <v>482</v>
      </c>
      <c r="D42" s="195" t="s">
        <v>445</v>
      </c>
      <c r="E42" s="195">
        <v>0.25</v>
      </c>
      <c r="F42" s="207" t="s">
        <v>480</v>
      </c>
      <c r="G42" s="195" t="s">
        <v>483</v>
      </c>
      <c r="H42" s="195" t="s">
        <v>460</v>
      </c>
    </row>
    <row r="43" spans="1:8" ht="35" thickBot="1" x14ac:dyDescent="0.4">
      <c r="A43" s="202">
        <v>11</v>
      </c>
      <c r="B43" s="203" t="s">
        <v>484</v>
      </c>
      <c r="C43" s="203" t="s">
        <v>485</v>
      </c>
      <c r="D43" s="204" t="s">
        <v>479</v>
      </c>
      <c r="E43" s="204">
        <v>1</v>
      </c>
      <c r="F43" s="204" t="s">
        <v>486</v>
      </c>
      <c r="G43" s="204" t="s">
        <v>487</v>
      </c>
      <c r="H43" s="204" t="s">
        <v>488</v>
      </c>
    </row>
    <row r="44" spans="1:8" ht="15" thickBot="1" x14ac:dyDescent="0.4">
      <c r="A44" s="194">
        <v>12</v>
      </c>
      <c r="B44" s="193" t="s">
        <v>489</v>
      </c>
      <c r="C44" s="196" t="s">
        <v>490</v>
      </c>
      <c r="D44" s="195" t="s">
        <v>491</v>
      </c>
      <c r="E44" s="195">
        <v>1</v>
      </c>
      <c r="F44" s="195" t="s">
        <v>492</v>
      </c>
      <c r="G44" s="195" t="s">
        <v>565</v>
      </c>
      <c r="H44" s="195" t="s">
        <v>460</v>
      </c>
    </row>
    <row r="45" spans="1:8" ht="35" thickBot="1" x14ac:dyDescent="0.4">
      <c r="A45" s="194">
        <v>13</v>
      </c>
      <c r="B45" s="193" t="s">
        <v>494</v>
      </c>
      <c r="C45" s="196" t="s">
        <v>490</v>
      </c>
      <c r="D45" s="195" t="s">
        <v>495</v>
      </c>
      <c r="E45" s="195">
        <v>2</v>
      </c>
      <c r="F45" s="195" t="s">
        <v>496</v>
      </c>
      <c r="G45" s="228" t="s">
        <v>493</v>
      </c>
      <c r="H45" s="195" t="s">
        <v>460</v>
      </c>
    </row>
    <row r="46" spans="1:8" ht="23.5" thickBot="1" x14ac:dyDescent="0.4">
      <c r="A46" s="194">
        <v>14</v>
      </c>
      <c r="B46" s="196" t="s">
        <v>497</v>
      </c>
      <c r="C46" s="196" t="s">
        <v>490</v>
      </c>
      <c r="D46" s="195" t="s">
        <v>498</v>
      </c>
      <c r="E46" s="195">
        <v>1</v>
      </c>
      <c r="F46" s="190" t="s">
        <v>499</v>
      </c>
      <c r="G46" s="197" t="s">
        <v>500</v>
      </c>
      <c r="H46" s="195" t="s">
        <v>460</v>
      </c>
    </row>
    <row r="47" spans="1:8" ht="23.5" thickBot="1" x14ac:dyDescent="0.4">
      <c r="A47" s="194">
        <v>15</v>
      </c>
      <c r="B47" s="193" t="s">
        <v>501</v>
      </c>
      <c r="C47" s="193" t="s">
        <v>502</v>
      </c>
      <c r="D47" s="195" t="s">
        <v>503</v>
      </c>
      <c r="E47" s="195">
        <v>0.25</v>
      </c>
      <c r="F47" s="208" t="s">
        <v>430</v>
      </c>
      <c r="G47" s="195" t="s">
        <v>565</v>
      </c>
      <c r="H47" s="195" t="s">
        <v>432</v>
      </c>
    </row>
    <row r="48" spans="1:8" ht="15" thickBot="1" x14ac:dyDescent="0.4">
      <c r="A48" s="194">
        <v>16</v>
      </c>
      <c r="B48" s="196" t="s">
        <v>504</v>
      </c>
      <c r="C48" s="193" t="s">
        <v>505</v>
      </c>
      <c r="D48" s="195" t="s">
        <v>503</v>
      </c>
      <c r="E48" s="195">
        <v>0.25</v>
      </c>
      <c r="F48" s="207" t="s">
        <v>506</v>
      </c>
      <c r="G48" s="195" t="s">
        <v>507</v>
      </c>
      <c r="H48" s="195" t="s">
        <v>460</v>
      </c>
    </row>
    <row r="49" spans="1:8" x14ac:dyDescent="0.35">
      <c r="A49" s="270">
        <v>17</v>
      </c>
      <c r="B49" s="272" t="s">
        <v>508</v>
      </c>
      <c r="C49" s="283" t="s">
        <v>508</v>
      </c>
      <c r="D49" s="274" t="s">
        <v>498</v>
      </c>
      <c r="E49" s="200">
        <v>1</v>
      </c>
      <c r="F49" s="209" t="s">
        <v>509</v>
      </c>
      <c r="G49" s="285" t="s">
        <v>431</v>
      </c>
      <c r="H49" s="274" t="s">
        <v>460</v>
      </c>
    </row>
    <row r="50" spans="1:8" ht="15" thickBot="1" x14ac:dyDescent="0.4">
      <c r="A50" s="271"/>
      <c r="B50" s="273"/>
      <c r="C50" s="284"/>
      <c r="D50" s="269"/>
      <c r="E50" s="201">
        <v>0</v>
      </c>
      <c r="F50" s="207" t="s">
        <v>510</v>
      </c>
      <c r="G50" s="269"/>
      <c r="H50" s="269"/>
    </row>
    <row r="51" spans="1:8" ht="46.5" thickBot="1" x14ac:dyDescent="0.4">
      <c r="A51" s="202">
        <v>18</v>
      </c>
      <c r="B51" s="203" t="s">
        <v>511</v>
      </c>
      <c r="C51" s="203" t="s">
        <v>512</v>
      </c>
      <c r="D51" s="204" t="s">
        <v>513</v>
      </c>
      <c r="E51" s="204">
        <v>0.5</v>
      </c>
      <c r="F51" s="204" t="s">
        <v>514</v>
      </c>
      <c r="G51" s="204" t="s">
        <v>446</v>
      </c>
      <c r="H51" s="204" t="s">
        <v>488</v>
      </c>
    </row>
    <row r="52" spans="1:8" ht="34.5" x14ac:dyDescent="0.35">
      <c r="A52" s="286">
        <v>19</v>
      </c>
      <c r="B52" s="288" t="s">
        <v>515</v>
      </c>
      <c r="C52" s="205" t="s">
        <v>516</v>
      </c>
      <c r="D52" s="281" t="s">
        <v>498</v>
      </c>
      <c r="E52" s="281">
        <v>1</v>
      </c>
      <c r="F52" s="281" t="s">
        <v>514</v>
      </c>
      <c r="G52" s="281" t="s">
        <v>518</v>
      </c>
      <c r="H52" s="281" t="s">
        <v>488</v>
      </c>
    </row>
    <row r="53" spans="1:8" ht="15" thickBot="1" x14ac:dyDescent="0.4">
      <c r="A53" s="287"/>
      <c r="B53" s="289"/>
      <c r="C53" s="203" t="s">
        <v>517</v>
      </c>
      <c r="D53" s="282"/>
      <c r="E53" s="282"/>
      <c r="F53" s="282"/>
      <c r="G53" s="282"/>
      <c r="H53" s="282"/>
    </row>
    <row r="54" spans="1:8" ht="23.5" thickBot="1" x14ac:dyDescent="0.4">
      <c r="A54" s="194">
        <v>20</v>
      </c>
      <c r="B54" s="193" t="s">
        <v>519</v>
      </c>
      <c r="C54" s="193" t="s">
        <v>520</v>
      </c>
      <c r="D54" s="195" t="s">
        <v>521</v>
      </c>
      <c r="E54" s="200">
        <v>0.5</v>
      </c>
      <c r="F54" s="206" t="s">
        <v>430</v>
      </c>
      <c r="G54" s="195" t="s">
        <v>565</v>
      </c>
      <c r="H54" s="195" t="s">
        <v>432</v>
      </c>
    </row>
    <row r="55" spans="1:8" ht="23" x14ac:dyDescent="0.35">
      <c r="A55" s="270">
        <v>21</v>
      </c>
      <c r="B55" s="192" t="s">
        <v>522</v>
      </c>
      <c r="C55" s="272" t="s">
        <v>524</v>
      </c>
      <c r="D55" s="274" t="s">
        <v>521</v>
      </c>
      <c r="E55" s="274">
        <v>0.5</v>
      </c>
      <c r="F55" s="275" t="s">
        <v>430</v>
      </c>
      <c r="G55" s="274" t="s">
        <v>565</v>
      </c>
      <c r="H55" s="274" t="s">
        <v>432</v>
      </c>
    </row>
    <row r="56" spans="1:8" ht="15" thickBot="1" x14ac:dyDescent="0.4">
      <c r="A56" s="271"/>
      <c r="B56" s="193" t="s">
        <v>523</v>
      </c>
      <c r="C56" s="273"/>
      <c r="D56" s="269"/>
      <c r="E56" s="268"/>
      <c r="F56" s="276"/>
      <c r="G56" s="269"/>
      <c r="H56" s="269"/>
    </row>
    <row r="57" spans="1:8" ht="15" thickBot="1" x14ac:dyDescent="0.4">
      <c r="A57" s="194">
        <v>22</v>
      </c>
      <c r="B57" s="193" t="s">
        <v>525</v>
      </c>
      <c r="C57" s="193" t="s">
        <v>526</v>
      </c>
      <c r="D57" s="195" t="s">
        <v>527</v>
      </c>
      <c r="E57" s="195">
        <v>0.25</v>
      </c>
      <c r="F57" s="198" t="s">
        <v>528</v>
      </c>
      <c r="G57" s="195" t="s">
        <v>561</v>
      </c>
      <c r="H57" s="195" t="s">
        <v>460</v>
      </c>
    </row>
    <row r="58" spans="1:8" ht="15" thickBot="1" x14ac:dyDescent="0.4">
      <c r="A58" s="277">
        <v>23</v>
      </c>
      <c r="B58" s="279" t="s">
        <v>529</v>
      </c>
      <c r="C58" s="229" t="s">
        <v>530</v>
      </c>
      <c r="D58" s="267" t="s">
        <v>527</v>
      </c>
      <c r="E58" s="267">
        <v>0.25</v>
      </c>
      <c r="F58" s="277" t="s">
        <v>536</v>
      </c>
      <c r="G58" s="267" t="s">
        <v>561</v>
      </c>
      <c r="H58" s="267" t="s">
        <v>460</v>
      </c>
    </row>
    <row r="59" spans="1:8" x14ac:dyDescent="0.35">
      <c r="A59" s="278"/>
      <c r="B59" s="280"/>
      <c r="C59" s="192" t="s">
        <v>531</v>
      </c>
      <c r="D59" s="268"/>
      <c r="E59" s="268"/>
      <c r="F59" s="278"/>
      <c r="G59" s="268"/>
      <c r="H59" s="268"/>
    </row>
    <row r="60" spans="1:8" x14ac:dyDescent="0.35">
      <c r="A60" s="278"/>
      <c r="B60" s="280"/>
      <c r="C60" s="192" t="s">
        <v>532</v>
      </c>
      <c r="D60" s="268"/>
      <c r="E60" s="268"/>
      <c r="F60" s="278"/>
      <c r="G60" s="268"/>
      <c r="H60" s="268"/>
    </row>
    <row r="61" spans="1:8" x14ac:dyDescent="0.35">
      <c r="A61" s="278"/>
      <c r="B61" s="280"/>
      <c r="C61" s="192" t="s">
        <v>455</v>
      </c>
      <c r="D61" s="268"/>
      <c r="E61" s="268"/>
      <c r="F61" s="278"/>
      <c r="G61" s="268"/>
      <c r="H61" s="268"/>
    </row>
    <row r="62" spans="1:8" x14ac:dyDescent="0.35">
      <c r="A62" s="278"/>
      <c r="B62" s="280"/>
      <c r="C62" s="192" t="s">
        <v>533</v>
      </c>
      <c r="D62" s="268"/>
      <c r="E62" s="268"/>
      <c r="F62" s="278"/>
      <c r="G62" s="268"/>
      <c r="H62" s="268"/>
    </row>
    <row r="63" spans="1:8" x14ac:dyDescent="0.35">
      <c r="A63" s="278"/>
      <c r="B63" s="280"/>
      <c r="C63" s="192" t="s">
        <v>534</v>
      </c>
      <c r="D63" s="268"/>
      <c r="E63" s="268"/>
      <c r="F63" s="278"/>
      <c r="G63" s="268"/>
      <c r="H63" s="268"/>
    </row>
    <row r="64" spans="1:8" ht="15" thickBot="1" x14ac:dyDescent="0.4">
      <c r="A64" s="271"/>
      <c r="B64" s="273"/>
      <c r="C64" s="193" t="s">
        <v>535</v>
      </c>
      <c r="D64" s="269"/>
      <c r="E64" s="269"/>
      <c r="F64" s="271"/>
      <c r="G64" s="269"/>
      <c r="H64" s="269"/>
    </row>
    <row r="65" spans="3:6" x14ac:dyDescent="0.35">
      <c r="C65" s="29" t="s">
        <v>541</v>
      </c>
      <c r="E65" s="28">
        <f>SUM(E3:E64)</f>
        <v>17.5</v>
      </c>
      <c r="F65" t="s">
        <v>545</v>
      </c>
    </row>
    <row r="66" spans="3:6" x14ac:dyDescent="0.35">
      <c r="C66" s="88" t="s">
        <v>542</v>
      </c>
      <c r="E66" s="2">
        <v>3</v>
      </c>
      <c r="F66" t="s">
        <v>545</v>
      </c>
    </row>
    <row r="67" spans="3:6" ht="29" x14ac:dyDescent="0.35">
      <c r="C67" s="88" t="s">
        <v>543</v>
      </c>
      <c r="E67" s="2">
        <f>E65-E66</f>
        <v>14.5</v>
      </c>
      <c r="F67" t="s">
        <v>545</v>
      </c>
    </row>
    <row r="68" spans="3:6" x14ac:dyDescent="0.35">
      <c r="C68" s="2" t="s">
        <v>544</v>
      </c>
      <c r="E68" s="2">
        <v>7</v>
      </c>
      <c r="F68" t="s">
        <v>545</v>
      </c>
    </row>
  </sheetData>
  <autoFilter ref="A2:H68" xr:uid="{F832C687-146D-4B3D-B3E5-CECC524EBB84}">
    <filterColumn colId="7">
      <filters>
        <filter val="İşe başlamadan önce"/>
        <filter val="İşe girişte (çalışan sahaya çıkmadan önce)"/>
      </filters>
    </filterColumn>
  </autoFilter>
  <mergeCells count="83">
    <mergeCell ref="H3:H11"/>
    <mergeCell ref="A12:A13"/>
    <mergeCell ref="B12:B13"/>
    <mergeCell ref="E12:E13"/>
    <mergeCell ref="F12:F13"/>
    <mergeCell ref="G12:G13"/>
    <mergeCell ref="H12:H13"/>
    <mergeCell ref="D3:D11"/>
    <mergeCell ref="A3:A11"/>
    <mergeCell ref="B3:B11"/>
    <mergeCell ref="E3:E11"/>
    <mergeCell ref="F3:F11"/>
    <mergeCell ref="G3:G11"/>
    <mergeCell ref="D12:D13"/>
    <mergeCell ref="H22:H26"/>
    <mergeCell ref="D22:D26"/>
    <mergeCell ref="A14:A21"/>
    <mergeCell ref="B14:B21"/>
    <mergeCell ref="E14:E21"/>
    <mergeCell ref="F14:F21"/>
    <mergeCell ref="G14:G21"/>
    <mergeCell ref="H14:H21"/>
    <mergeCell ref="D14:D21"/>
    <mergeCell ref="A22:A26"/>
    <mergeCell ref="B22:B26"/>
    <mergeCell ref="E22:E26"/>
    <mergeCell ref="F22:F26"/>
    <mergeCell ref="G22:G26"/>
    <mergeCell ref="H31:H34"/>
    <mergeCell ref="D31:D34"/>
    <mergeCell ref="A27:A30"/>
    <mergeCell ref="B27:B30"/>
    <mergeCell ref="E27:E30"/>
    <mergeCell ref="F27:F30"/>
    <mergeCell ref="G27:G30"/>
    <mergeCell ref="H27:H30"/>
    <mergeCell ref="D27:D30"/>
    <mergeCell ref="A31:A34"/>
    <mergeCell ref="B31:B34"/>
    <mergeCell ref="E31:E34"/>
    <mergeCell ref="F31:F34"/>
    <mergeCell ref="G31:G34"/>
    <mergeCell ref="H38:H41"/>
    <mergeCell ref="D38:D41"/>
    <mergeCell ref="A36:A37"/>
    <mergeCell ref="C36:C37"/>
    <mergeCell ref="E36:E37"/>
    <mergeCell ref="G36:G37"/>
    <mergeCell ref="H36:H37"/>
    <mergeCell ref="D36:D37"/>
    <mergeCell ref="F36:F37"/>
    <mergeCell ref="A38:A41"/>
    <mergeCell ref="B38:B41"/>
    <mergeCell ref="E38:E41"/>
    <mergeCell ref="F38:F41"/>
    <mergeCell ref="G38:G41"/>
    <mergeCell ref="H52:H53"/>
    <mergeCell ref="D52:D53"/>
    <mergeCell ref="A49:A50"/>
    <mergeCell ref="B49:B50"/>
    <mergeCell ref="C49:C50"/>
    <mergeCell ref="G49:G50"/>
    <mergeCell ref="H49:H50"/>
    <mergeCell ref="D49:D50"/>
    <mergeCell ref="A52:A53"/>
    <mergeCell ref="B52:B53"/>
    <mergeCell ref="E52:E53"/>
    <mergeCell ref="F52:F53"/>
    <mergeCell ref="G52:G53"/>
    <mergeCell ref="H58:H64"/>
    <mergeCell ref="D58:D64"/>
    <mergeCell ref="A55:A56"/>
    <mergeCell ref="C55:C56"/>
    <mergeCell ref="E55:E56"/>
    <mergeCell ref="F55:F56"/>
    <mergeCell ref="G55:G56"/>
    <mergeCell ref="H55:H56"/>
    <mergeCell ref="D55:D56"/>
    <mergeCell ref="A58:A64"/>
    <mergeCell ref="B58:B64"/>
    <mergeCell ref="E58:E64"/>
    <mergeCell ref="F58:F64"/>
    <mergeCell ref="G58:G64"/>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60220-D190-49FC-94B7-83286A206F58}">
  <sheetPr>
    <tabColor rgb="FFFFC000"/>
  </sheetPr>
  <dimension ref="A1:G20"/>
  <sheetViews>
    <sheetView zoomScale="80" zoomScaleNormal="80" workbookViewId="0">
      <selection activeCell="K10" sqref="K10"/>
    </sheetView>
  </sheetViews>
  <sheetFormatPr defaultRowHeight="14.5" x14ac:dyDescent="0.35"/>
  <cols>
    <col min="1" max="1" width="10.90625" style="38" customWidth="1"/>
    <col min="2" max="2" width="28.81640625" customWidth="1"/>
    <col min="3" max="3" width="55.453125" customWidth="1"/>
    <col min="4" max="4" width="14.1796875" customWidth="1"/>
    <col min="5" max="5" width="12.54296875" customWidth="1"/>
    <col min="6" max="6" width="42.90625" customWidth="1"/>
    <col min="7" max="7" width="48" customWidth="1"/>
  </cols>
  <sheetData>
    <row r="1" spans="1:7" ht="40" x14ac:dyDescent="0.35">
      <c r="A1" s="53" t="s">
        <v>50</v>
      </c>
      <c r="B1" s="302" t="s">
        <v>28</v>
      </c>
      <c r="C1" s="303"/>
      <c r="D1" s="53" t="s">
        <v>64</v>
      </c>
      <c r="E1" s="53" t="s">
        <v>29</v>
      </c>
      <c r="F1" s="53" t="s">
        <v>30</v>
      </c>
      <c r="G1" s="54" t="s">
        <v>31</v>
      </c>
    </row>
    <row r="2" spans="1:7" ht="33.75" customHeight="1" x14ac:dyDescent="0.35">
      <c r="A2" s="55" t="s">
        <v>110</v>
      </c>
      <c r="B2" s="304" t="s">
        <v>33</v>
      </c>
      <c r="C2" s="305"/>
      <c r="D2" s="51"/>
      <c r="E2" s="51" t="s">
        <v>34</v>
      </c>
      <c r="F2" s="45" t="s">
        <v>55</v>
      </c>
      <c r="G2" s="45" t="s">
        <v>35</v>
      </c>
    </row>
    <row r="3" spans="1:7" ht="61.5" customHeight="1" x14ac:dyDescent="0.35">
      <c r="A3" s="55" t="s">
        <v>111</v>
      </c>
      <c r="B3" s="301" t="s">
        <v>69</v>
      </c>
      <c r="C3" s="301"/>
      <c r="D3" s="51" t="s">
        <v>32</v>
      </c>
      <c r="E3" s="51" t="s">
        <v>32</v>
      </c>
      <c r="F3" s="45" t="s">
        <v>36</v>
      </c>
      <c r="G3" s="51" t="s">
        <v>32</v>
      </c>
    </row>
    <row r="4" spans="1:7" ht="72.5" thickBot="1" x14ac:dyDescent="0.4">
      <c r="A4" s="55" t="s">
        <v>112</v>
      </c>
      <c r="B4" s="306" t="s">
        <v>75</v>
      </c>
      <c r="C4" s="306"/>
      <c r="D4" s="61" t="s">
        <v>32</v>
      </c>
      <c r="E4" s="61" t="s">
        <v>38</v>
      </c>
      <c r="F4" s="62" t="s">
        <v>73</v>
      </c>
      <c r="G4" s="62" t="s">
        <v>74</v>
      </c>
    </row>
    <row r="5" spans="1:7" ht="72" x14ac:dyDescent="0.35">
      <c r="A5" s="60" t="s">
        <v>113</v>
      </c>
      <c r="B5" s="307" t="s">
        <v>72</v>
      </c>
      <c r="C5" s="308"/>
      <c r="D5" s="65" t="s">
        <v>65</v>
      </c>
      <c r="E5" s="66" t="s">
        <v>38</v>
      </c>
      <c r="F5" s="65" t="s">
        <v>66</v>
      </c>
      <c r="G5" s="67" t="s">
        <v>67</v>
      </c>
    </row>
    <row r="6" spans="1:7" ht="72" x14ac:dyDescent="0.35">
      <c r="A6" s="60" t="s">
        <v>113</v>
      </c>
      <c r="B6" s="300" t="s">
        <v>37</v>
      </c>
      <c r="C6" s="301"/>
      <c r="D6" s="52" t="s">
        <v>68</v>
      </c>
      <c r="E6" s="51" t="s">
        <v>32</v>
      </c>
      <c r="F6" s="51" t="s">
        <v>32</v>
      </c>
      <c r="G6" s="71" t="s">
        <v>32</v>
      </c>
    </row>
    <row r="7" spans="1:7" ht="72.5" thickBot="1" x14ac:dyDescent="0.4">
      <c r="A7" s="60" t="s">
        <v>113</v>
      </c>
      <c r="B7" s="309" t="s">
        <v>70</v>
      </c>
      <c r="C7" s="310"/>
      <c r="D7" s="68" t="s">
        <v>68</v>
      </c>
      <c r="E7" s="69" t="s">
        <v>32</v>
      </c>
      <c r="F7" s="69" t="s">
        <v>32</v>
      </c>
      <c r="G7" s="70" t="s">
        <v>32</v>
      </c>
    </row>
    <row r="8" spans="1:7" ht="74.25" customHeight="1" thickBot="1" x14ac:dyDescent="0.4">
      <c r="A8" s="55" t="s">
        <v>114</v>
      </c>
      <c r="B8" s="311" t="s">
        <v>108</v>
      </c>
      <c r="C8" s="311"/>
      <c r="D8" s="72" t="s">
        <v>32</v>
      </c>
      <c r="E8" s="72" t="s">
        <v>32</v>
      </c>
      <c r="F8" s="73" t="s">
        <v>71</v>
      </c>
      <c r="G8" s="73" t="s">
        <v>107</v>
      </c>
    </row>
    <row r="9" spans="1:7" ht="72" x14ac:dyDescent="0.35">
      <c r="A9" s="312" t="s">
        <v>115</v>
      </c>
      <c r="B9" s="307" t="s">
        <v>76</v>
      </c>
      <c r="C9" s="74" t="s">
        <v>105</v>
      </c>
      <c r="D9" s="66" t="s">
        <v>32</v>
      </c>
      <c r="E9" s="66" t="s">
        <v>32</v>
      </c>
      <c r="F9" s="74" t="s">
        <v>77</v>
      </c>
      <c r="G9" s="67" t="s">
        <v>78</v>
      </c>
    </row>
    <row r="10" spans="1:7" ht="36" x14ac:dyDescent="0.35">
      <c r="A10" s="313"/>
      <c r="B10" s="300"/>
      <c r="C10" s="52" t="s">
        <v>79</v>
      </c>
      <c r="D10" s="51" t="s">
        <v>32</v>
      </c>
      <c r="E10" s="51" t="s">
        <v>32</v>
      </c>
      <c r="F10" s="52" t="s">
        <v>80</v>
      </c>
      <c r="G10" s="75" t="s">
        <v>78</v>
      </c>
    </row>
    <row r="11" spans="1:7" ht="24" customHeight="1" x14ac:dyDescent="0.35">
      <c r="A11" s="313"/>
      <c r="B11" s="300"/>
      <c r="C11" s="52" t="s">
        <v>81</v>
      </c>
      <c r="D11" s="51" t="s">
        <v>32</v>
      </c>
      <c r="E11" s="51" t="s">
        <v>32</v>
      </c>
      <c r="F11" s="52" t="s">
        <v>77</v>
      </c>
      <c r="G11" s="75" t="s">
        <v>78</v>
      </c>
    </row>
    <row r="12" spans="1:7" ht="27" customHeight="1" x14ac:dyDescent="0.35">
      <c r="A12" s="313"/>
      <c r="B12" s="300"/>
      <c r="C12" s="52" t="s">
        <v>82</v>
      </c>
      <c r="D12" s="51" t="s">
        <v>32</v>
      </c>
      <c r="E12" s="51" t="s">
        <v>32</v>
      </c>
      <c r="F12" s="52" t="s">
        <v>83</v>
      </c>
      <c r="G12" s="75" t="s">
        <v>78</v>
      </c>
    </row>
    <row r="13" spans="1:7" ht="144.5" thickBot="1" x14ac:dyDescent="0.4">
      <c r="A13" s="314"/>
      <c r="B13" s="309"/>
      <c r="C13" s="68" t="s">
        <v>106</v>
      </c>
      <c r="D13" s="69" t="s">
        <v>32</v>
      </c>
      <c r="E13" s="69" t="s">
        <v>32</v>
      </c>
      <c r="F13" s="68" t="s">
        <v>84</v>
      </c>
      <c r="G13" s="76" t="s">
        <v>85</v>
      </c>
    </row>
    <row r="14" spans="1:7" ht="30.75" customHeight="1" x14ac:dyDescent="0.35">
      <c r="A14" s="60" t="s">
        <v>116</v>
      </c>
      <c r="B14" s="307" t="s">
        <v>86</v>
      </c>
      <c r="C14" s="308"/>
      <c r="D14" s="66" t="s">
        <v>32</v>
      </c>
      <c r="E14" s="66" t="s">
        <v>32</v>
      </c>
      <c r="F14" s="74" t="s">
        <v>87</v>
      </c>
      <c r="G14" s="77" t="s">
        <v>32</v>
      </c>
    </row>
    <row r="15" spans="1:7" ht="55.5" customHeight="1" thickBot="1" x14ac:dyDescent="0.4">
      <c r="A15" s="60" t="s">
        <v>117</v>
      </c>
      <c r="B15" s="309" t="s">
        <v>88</v>
      </c>
      <c r="C15" s="310"/>
      <c r="D15" s="69" t="s">
        <v>32</v>
      </c>
      <c r="E15" s="69" t="s">
        <v>32</v>
      </c>
      <c r="F15" s="68" t="s">
        <v>89</v>
      </c>
      <c r="G15" s="76" t="s">
        <v>90</v>
      </c>
    </row>
    <row r="16" spans="1:7" ht="54" x14ac:dyDescent="0.35">
      <c r="A16" s="55" t="s">
        <v>118</v>
      </c>
      <c r="B16" s="315" t="s">
        <v>91</v>
      </c>
      <c r="C16" s="315"/>
      <c r="D16" s="64" t="s">
        <v>32</v>
      </c>
      <c r="E16" s="63" t="s">
        <v>38</v>
      </c>
      <c r="F16" s="63" t="s">
        <v>92</v>
      </c>
      <c r="G16" s="63" t="s">
        <v>93</v>
      </c>
    </row>
    <row r="17" spans="1:7" ht="54" x14ac:dyDescent="0.35">
      <c r="A17" s="55" t="s">
        <v>119</v>
      </c>
      <c r="B17" s="301" t="s">
        <v>94</v>
      </c>
      <c r="C17" s="301"/>
      <c r="D17" s="51" t="s">
        <v>32</v>
      </c>
      <c r="E17" s="51" t="s">
        <v>32</v>
      </c>
      <c r="F17" s="45" t="s">
        <v>95</v>
      </c>
      <c r="G17" s="45" t="s">
        <v>96</v>
      </c>
    </row>
    <row r="18" spans="1:7" ht="144" x14ac:dyDescent="0.35">
      <c r="A18" s="55" t="s">
        <v>120</v>
      </c>
      <c r="B18" s="301" t="s">
        <v>97</v>
      </c>
      <c r="C18" s="301"/>
      <c r="D18" s="51" t="s">
        <v>32</v>
      </c>
      <c r="E18" s="45" t="s">
        <v>99</v>
      </c>
      <c r="F18" s="45" t="s">
        <v>98</v>
      </c>
      <c r="G18" s="45" t="s">
        <v>109</v>
      </c>
    </row>
    <row r="19" spans="1:7" ht="36" x14ac:dyDescent="0.35">
      <c r="A19" s="55" t="s">
        <v>121</v>
      </c>
      <c r="B19" s="301" t="s">
        <v>100</v>
      </c>
      <c r="C19" s="301"/>
      <c r="D19" s="51" t="s">
        <v>32</v>
      </c>
      <c r="E19" s="45" t="s">
        <v>38</v>
      </c>
      <c r="F19" s="45" t="s">
        <v>89</v>
      </c>
      <c r="G19" s="45" t="s">
        <v>101</v>
      </c>
    </row>
    <row r="20" spans="1:7" ht="162" x14ac:dyDescent="0.35">
      <c r="A20" s="55" t="s">
        <v>122</v>
      </c>
      <c r="B20" s="301" t="s">
        <v>102</v>
      </c>
      <c r="C20" s="301"/>
      <c r="D20" s="51" t="s">
        <v>32</v>
      </c>
      <c r="E20" s="51" t="s">
        <v>32</v>
      </c>
      <c r="F20" s="45" t="s">
        <v>103</v>
      </c>
      <c r="G20" s="45" t="s">
        <v>104</v>
      </c>
    </row>
  </sheetData>
  <mergeCells count="17">
    <mergeCell ref="A9:A13"/>
    <mergeCell ref="B16:C16"/>
    <mergeCell ref="B17:C17"/>
    <mergeCell ref="B18:C18"/>
    <mergeCell ref="B19:C19"/>
    <mergeCell ref="B20:C20"/>
    <mergeCell ref="B7:C7"/>
    <mergeCell ref="B8:C8"/>
    <mergeCell ref="B9:B13"/>
    <mergeCell ref="B14:C14"/>
    <mergeCell ref="B15:C15"/>
    <mergeCell ref="B6:C6"/>
    <mergeCell ref="B1:C1"/>
    <mergeCell ref="B2:C2"/>
    <mergeCell ref="B3:C3"/>
    <mergeCell ref="B4:C4"/>
    <mergeCell ref="B5:C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49CF-8E04-4EAA-A583-E17152D90D07}">
  <sheetPr>
    <tabColor rgb="FFFFC000"/>
  </sheetPr>
  <dimension ref="A2:M59"/>
  <sheetViews>
    <sheetView zoomScale="40" zoomScaleNormal="40" workbookViewId="0">
      <pane xSplit="4" ySplit="2" topLeftCell="E36" activePane="bottomRight" state="frozen"/>
      <selection pane="topRight" activeCell="E1" sqref="E1"/>
      <selection pane="bottomLeft" activeCell="A3" sqref="A3"/>
      <selection pane="bottomRight" activeCell="M44" sqref="M44"/>
    </sheetView>
  </sheetViews>
  <sheetFormatPr defaultColWidth="9" defaultRowHeight="14.5" x14ac:dyDescent="0.35"/>
  <cols>
    <col min="1" max="1" width="9.54296875" style="56" customWidth="1"/>
    <col min="2" max="2" width="26.453125" style="56" customWidth="1"/>
    <col min="3" max="3" width="16.54296875" style="56" customWidth="1"/>
    <col min="4" max="4" width="26.453125" style="56" customWidth="1"/>
    <col min="5" max="5" width="43.08984375" style="33" customWidth="1"/>
    <col min="6" max="7" width="38.08984375" style="33" customWidth="1"/>
    <col min="8" max="9" width="46.81640625" style="33" customWidth="1"/>
    <col min="10" max="10" width="37.6328125" style="33" customWidth="1"/>
    <col min="11" max="11" width="55.08984375" style="57" customWidth="1"/>
    <col min="12" max="12" width="32.90625" style="57" customWidth="1"/>
    <col min="13" max="13" width="35.90625" style="57" customWidth="1"/>
    <col min="14" max="16384" width="9" style="57"/>
  </cols>
  <sheetData>
    <row r="2" spans="1:12" s="58" customFormat="1" ht="100" x14ac:dyDescent="0.35">
      <c r="A2" s="113" t="s">
        <v>170</v>
      </c>
      <c r="B2" s="113" t="s">
        <v>285</v>
      </c>
      <c r="C2" s="53" t="s">
        <v>171</v>
      </c>
      <c r="D2" s="53" t="s">
        <v>61</v>
      </c>
      <c r="E2" s="113" t="s">
        <v>7</v>
      </c>
      <c r="F2" s="114" t="s">
        <v>8</v>
      </c>
      <c r="G2" s="114" t="s">
        <v>8</v>
      </c>
      <c r="H2" s="53" t="s">
        <v>7</v>
      </c>
      <c r="I2" s="53" t="s">
        <v>223</v>
      </c>
      <c r="J2" s="115" t="s">
        <v>9</v>
      </c>
      <c r="K2" s="116" t="s">
        <v>259</v>
      </c>
      <c r="L2" s="117" t="s">
        <v>287</v>
      </c>
    </row>
    <row r="3" spans="1:12" s="82" customFormat="1" ht="40" x14ac:dyDescent="0.35">
      <c r="A3" s="105" t="s">
        <v>187</v>
      </c>
      <c r="B3" s="118" t="s">
        <v>130</v>
      </c>
      <c r="C3" s="119"/>
      <c r="D3" s="120"/>
      <c r="E3" s="121" t="s">
        <v>10</v>
      </c>
      <c r="F3" s="122"/>
      <c r="G3" s="122"/>
      <c r="H3" s="122"/>
      <c r="I3" s="122"/>
      <c r="J3" s="122"/>
      <c r="K3" s="123"/>
      <c r="L3" s="124"/>
    </row>
    <row r="4" spans="1:12" s="82" customFormat="1" ht="42" x14ac:dyDescent="0.35">
      <c r="A4" s="105" t="s">
        <v>188</v>
      </c>
      <c r="B4" s="118" t="s">
        <v>131</v>
      </c>
      <c r="C4" s="119"/>
      <c r="D4" s="120"/>
      <c r="E4" s="121" t="s">
        <v>11</v>
      </c>
      <c r="F4" s="122"/>
      <c r="G4" s="122"/>
      <c r="H4" s="122"/>
      <c r="I4" s="122"/>
      <c r="J4" s="122"/>
      <c r="K4" s="123"/>
      <c r="L4" s="124"/>
    </row>
    <row r="5" spans="1:12" s="82" customFormat="1" ht="61.5" x14ac:dyDescent="0.35">
      <c r="A5" s="105" t="s">
        <v>189</v>
      </c>
      <c r="B5" s="118" t="s">
        <v>13</v>
      </c>
      <c r="C5" s="119"/>
      <c r="D5" s="120"/>
      <c r="E5" s="121" t="s">
        <v>12</v>
      </c>
      <c r="F5" s="122"/>
      <c r="G5" s="122"/>
      <c r="H5" s="122"/>
      <c r="I5" s="122"/>
      <c r="J5" s="122"/>
      <c r="K5" s="123"/>
      <c r="L5" s="124"/>
    </row>
    <row r="6" spans="1:12" s="82" customFormat="1" ht="184.5" x14ac:dyDescent="0.35">
      <c r="A6" s="105" t="s">
        <v>190</v>
      </c>
      <c r="B6" s="125" t="s">
        <v>132</v>
      </c>
      <c r="C6" s="126" t="s">
        <v>196</v>
      </c>
      <c r="D6" s="127" t="s">
        <v>132</v>
      </c>
      <c r="E6" s="104" t="s">
        <v>133</v>
      </c>
      <c r="F6" s="107" t="s">
        <v>134</v>
      </c>
      <c r="G6" s="128" t="s">
        <v>135</v>
      </c>
      <c r="H6" s="128" t="s">
        <v>350</v>
      </c>
      <c r="I6" s="129" t="s">
        <v>349</v>
      </c>
      <c r="J6" s="122"/>
      <c r="K6" s="110" t="s">
        <v>262</v>
      </c>
      <c r="L6" s="124"/>
    </row>
    <row r="7" spans="1:12" s="82" customFormat="1" ht="189" x14ac:dyDescent="0.35">
      <c r="A7" s="105" t="s">
        <v>191</v>
      </c>
      <c r="B7" s="130" t="s">
        <v>136</v>
      </c>
      <c r="C7" s="120"/>
      <c r="D7" s="120"/>
      <c r="E7" s="131" t="s">
        <v>137</v>
      </c>
      <c r="F7" s="132" t="s">
        <v>138</v>
      </c>
      <c r="G7" s="122"/>
      <c r="H7" s="122"/>
      <c r="I7" s="122"/>
      <c r="J7" s="122"/>
      <c r="K7" s="133" t="s">
        <v>260</v>
      </c>
      <c r="L7" s="134" t="s">
        <v>292</v>
      </c>
    </row>
    <row r="8" spans="1:12" s="82" customFormat="1" ht="61.5" x14ac:dyDescent="0.35">
      <c r="A8" s="105" t="s">
        <v>123</v>
      </c>
      <c r="B8" s="130" t="s">
        <v>139</v>
      </c>
      <c r="C8" s="120"/>
      <c r="D8" s="120"/>
      <c r="E8" s="135" t="s">
        <v>140</v>
      </c>
      <c r="F8" s="122"/>
      <c r="G8" s="122"/>
      <c r="H8" s="122"/>
      <c r="I8" s="122"/>
      <c r="J8" s="122"/>
      <c r="K8" s="123"/>
      <c r="L8" s="124"/>
    </row>
    <row r="9" spans="1:12" s="82" customFormat="1" ht="72.75" customHeight="1" x14ac:dyDescent="0.35">
      <c r="A9" s="105" t="s">
        <v>124</v>
      </c>
      <c r="B9" s="130" t="s">
        <v>141</v>
      </c>
      <c r="C9" s="120"/>
      <c r="D9" s="120"/>
      <c r="E9" s="122"/>
      <c r="F9" s="122"/>
      <c r="G9" s="122"/>
      <c r="H9" s="122"/>
      <c r="I9" s="122"/>
      <c r="J9" s="122"/>
      <c r="K9" s="136" t="s">
        <v>295</v>
      </c>
      <c r="L9" s="134" t="s">
        <v>344</v>
      </c>
    </row>
    <row r="10" spans="1:12" s="82" customFormat="1" ht="120" x14ac:dyDescent="0.35">
      <c r="A10" s="105" t="s">
        <v>192</v>
      </c>
      <c r="B10" s="130" t="s">
        <v>283</v>
      </c>
      <c r="C10" s="137"/>
      <c r="D10" s="120"/>
      <c r="E10" s="138" t="s">
        <v>263</v>
      </c>
      <c r="F10" s="122"/>
      <c r="G10" s="122"/>
      <c r="H10" s="122"/>
      <c r="I10" s="122"/>
      <c r="J10" s="122"/>
      <c r="K10" s="123"/>
      <c r="L10" s="124"/>
    </row>
    <row r="11" spans="1:12" s="82" customFormat="1" ht="336" x14ac:dyDescent="0.35">
      <c r="A11" s="105" t="s">
        <v>193</v>
      </c>
      <c r="B11" s="130" t="s">
        <v>142</v>
      </c>
      <c r="C11" s="137"/>
      <c r="D11" s="120"/>
      <c r="E11" s="139" t="s">
        <v>143</v>
      </c>
      <c r="F11" s="129" t="s">
        <v>144</v>
      </c>
      <c r="G11" s="122"/>
      <c r="H11" s="122"/>
      <c r="I11" s="122"/>
      <c r="J11" s="109" t="s">
        <v>353</v>
      </c>
      <c r="K11" s="123"/>
      <c r="L11" s="140" t="s">
        <v>346</v>
      </c>
    </row>
    <row r="12" spans="1:12" s="82" customFormat="1" ht="41.25" customHeight="1" x14ac:dyDescent="0.35">
      <c r="A12" s="105" t="s">
        <v>195</v>
      </c>
      <c r="B12" s="130" t="s">
        <v>145</v>
      </c>
      <c r="C12" s="119"/>
      <c r="D12" s="120"/>
      <c r="E12" s="141" t="s">
        <v>146</v>
      </c>
      <c r="F12" s="108" t="s">
        <v>147</v>
      </c>
      <c r="G12" s="122"/>
      <c r="H12" s="122"/>
      <c r="I12" s="122"/>
      <c r="J12" s="122"/>
      <c r="K12" s="123"/>
      <c r="L12" s="140" t="s">
        <v>286</v>
      </c>
    </row>
    <row r="13" spans="1:12" s="112" customFormat="1" ht="378" x14ac:dyDescent="0.35">
      <c r="A13" s="105" t="s">
        <v>196</v>
      </c>
      <c r="B13" s="105" t="s">
        <v>183</v>
      </c>
      <c r="C13" s="106" t="s">
        <v>123</v>
      </c>
      <c r="D13" s="106" t="s">
        <v>185</v>
      </c>
      <c r="E13" s="104" t="s">
        <v>148</v>
      </c>
      <c r="F13" s="104" t="s">
        <v>294</v>
      </c>
      <c r="G13" s="107" t="s">
        <v>149</v>
      </c>
      <c r="H13" s="107" t="s">
        <v>339</v>
      </c>
      <c r="I13" s="108" t="s">
        <v>186</v>
      </c>
      <c r="J13" s="109" t="s">
        <v>352</v>
      </c>
      <c r="K13" s="110" t="s">
        <v>238</v>
      </c>
      <c r="L13" s="111" t="s">
        <v>354</v>
      </c>
    </row>
    <row r="14" spans="1:12" s="82" customFormat="1" ht="409.5" x14ac:dyDescent="0.35">
      <c r="A14" s="105" t="s">
        <v>196</v>
      </c>
      <c r="B14" s="105" t="s">
        <v>184</v>
      </c>
      <c r="C14" s="105" t="s">
        <v>123</v>
      </c>
      <c r="D14" s="105" t="s">
        <v>185</v>
      </c>
      <c r="E14" s="104" t="s">
        <v>150</v>
      </c>
      <c r="F14" s="104" t="s">
        <v>151</v>
      </c>
      <c r="G14" s="104" t="s">
        <v>291</v>
      </c>
      <c r="H14" s="104" t="s">
        <v>339</v>
      </c>
      <c r="I14" s="104" t="s">
        <v>340</v>
      </c>
      <c r="J14" s="107" t="s">
        <v>364</v>
      </c>
      <c r="K14" s="142" t="s">
        <v>261</v>
      </c>
      <c r="L14" s="143" t="s">
        <v>341</v>
      </c>
    </row>
    <row r="15" spans="1:12" s="82" customFormat="1" ht="162" customHeight="1" x14ac:dyDescent="0.35">
      <c r="A15" s="105" t="s">
        <v>197</v>
      </c>
      <c r="B15" s="105" t="s">
        <v>154</v>
      </c>
      <c r="C15" s="105" t="s">
        <v>196</v>
      </c>
      <c r="D15" s="105" t="s">
        <v>223</v>
      </c>
      <c r="E15" s="104" t="s">
        <v>152</v>
      </c>
      <c r="F15" s="227" t="s">
        <v>155</v>
      </c>
      <c r="G15" s="104" t="s">
        <v>153</v>
      </c>
      <c r="H15" s="104" t="s">
        <v>338</v>
      </c>
      <c r="I15" s="104" t="s">
        <v>351</v>
      </c>
      <c r="J15" s="132" t="s">
        <v>236</v>
      </c>
      <c r="K15" s="123"/>
      <c r="L15" s="144" t="s">
        <v>342</v>
      </c>
    </row>
    <row r="16" spans="1:12" s="82" customFormat="1" ht="315" x14ac:dyDescent="0.35">
      <c r="A16" s="105" t="s">
        <v>197</v>
      </c>
      <c r="B16" s="105" t="s">
        <v>154</v>
      </c>
      <c r="C16" s="145" t="s">
        <v>199</v>
      </c>
      <c r="D16" s="145" t="s">
        <v>61</v>
      </c>
      <c r="E16" s="104" t="s">
        <v>156</v>
      </c>
      <c r="F16" s="104" t="s">
        <v>360</v>
      </c>
      <c r="G16" s="146" t="s">
        <v>157</v>
      </c>
      <c r="H16" s="146" t="s">
        <v>348</v>
      </c>
      <c r="I16" s="132" t="s">
        <v>347</v>
      </c>
      <c r="J16" s="122"/>
      <c r="K16" s="123"/>
      <c r="L16" s="147" t="s">
        <v>355</v>
      </c>
    </row>
    <row r="17" spans="1:12" s="82" customFormat="1" ht="82" x14ac:dyDescent="0.35">
      <c r="A17" s="105" t="s">
        <v>198</v>
      </c>
      <c r="B17" s="130" t="s">
        <v>20</v>
      </c>
      <c r="C17" s="120"/>
      <c r="D17" s="120"/>
      <c r="E17" s="131" t="s">
        <v>158</v>
      </c>
      <c r="F17" s="132" t="s">
        <v>159</v>
      </c>
      <c r="G17" s="122"/>
      <c r="H17" s="122"/>
      <c r="I17" s="122"/>
      <c r="J17" s="122"/>
      <c r="K17" s="148" t="s">
        <v>266</v>
      </c>
      <c r="L17" s="124"/>
    </row>
    <row r="18" spans="1:12" s="82" customFormat="1" ht="409.5" x14ac:dyDescent="0.35">
      <c r="A18" s="105" t="s">
        <v>199</v>
      </c>
      <c r="B18" s="130" t="s">
        <v>16</v>
      </c>
      <c r="C18" s="120"/>
      <c r="D18" s="120"/>
      <c r="E18" s="121" t="s">
        <v>160</v>
      </c>
      <c r="F18" s="123"/>
      <c r="G18" s="122"/>
      <c r="H18" s="122"/>
      <c r="I18" s="122"/>
      <c r="J18" s="138" t="s">
        <v>161</v>
      </c>
      <c r="K18" s="123"/>
      <c r="L18" s="140" t="s">
        <v>343</v>
      </c>
    </row>
    <row r="19" spans="1:12" s="82" customFormat="1" ht="104.25" customHeight="1" x14ac:dyDescent="0.35">
      <c r="A19" s="105" t="s">
        <v>200</v>
      </c>
      <c r="B19" s="130" t="s">
        <v>162</v>
      </c>
      <c r="C19" s="120"/>
      <c r="D19" s="120"/>
      <c r="E19" s="131" t="s">
        <v>163</v>
      </c>
      <c r="F19" s="108" t="s">
        <v>258</v>
      </c>
      <c r="G19" s="122"/>
      <c r="H19" s="122"/>
      <c r="I19" s="122"/>
      <c r="J19" s="135" t="s">
        <v>164</v>
      </c>
      <c r="K19" s="123"/>
      <c r="L19" s="124"/>
    </row>
    <row r="20" spans="1:12" s="82" customFormat="1" ht="83.25" customHeight="1" x14ac:dyDescent="0.35">
      <c r="A20" s="105" t="s">
        <v>201</v>
      </c>
      <c r="B20" s="130" t="s">
        <v>17</v>
      </c>
      <c r="C20" s="120"/>
      <c r="D20" s="120"/>
      <c r="E20" s="131" t="s">
        <v>165</v>
      </c>
      <c r="F20" s="149" t="s">
        <v>166</v>
      </c>
      <c r="G20" s="122"/>
      <c r="H20" s="122"/>
      <c r="I20" s="122"/>
      <c r="J20" s="122"/>
      <c r="K20" s="123"/>
      <c r="L20" s="124"/>
    </row>
    <row r="21" spans="1:12" s="82" customFormat="1" ht="54.75" customHeight="1" x14ac:dyDescent="0.35">
      <c r="A21" s="105" t="s">
        <v>202</v>
      </c>
      <c r="B21" s="130" t="s">
        <v>167</v>
      </c>
      <c r="C21" s="120"/>
      <c r="D21" s="120"/>
      <c r="E21" s="131" t="s">
        <v>168</v>
      </c>
      <c r="F21" s="149" t="s">
        <v>169</v>
      </c>
      <c r="G21" s="122"/>
      <c r="H21" s="122"/>
      <c r="I21" s="122"/>
      <c r="J21" s="122"/>
      <c r="K21" s="123"/>
      <c r="L21" s="124"/>
    </row>
    <row r="22" spans="1:12" s="82" customFormat="1" ht="409.5" x14ac:dyDescent="0.35">
      <c r="A22" s="105" t="s">
        <v>203</v>
      </c>
      <c r="B22" s="130" t="s">
        <v>19</v>
      </c>
      <c r="C22" s="120"/>
      <c r="D22" s="120"/>
      <c r="E22" s="131" t="s">
        <v>172</v>
      </c>
      <c r="F22" s="104" t="s">
        <v>173</v>
      </c>
      <c r="G22" s="129" t="s">
        <v>174</v>
      </c>
      <c r="H22" s="122"/>
      <c r="I22" s="122"/>
      <c r="J22" s="138" t="s">
        <v>361</v>
      </c>
      <c r="K22" s="123"/>
      <c r="L22" s="140" t="s">
        <v>289</v>
      </c>
    </row>
    <row r="23" spans="1:12" s="82" customFormat="1" ht="205" x14ac:dyDescent="0.35">
      <c r="A23" s="105" t="s">
        <v>204</v>
      </c>
      <c r="B23" s="130" t="s">
        <v>175</v>
      </c>
      <c r="C23" s="120"/>
      <c r="D23" s="120"/>
      <c r="E23" s="131" t="s">
        <v>176</v>
      </c>
      <c r="F23" s="149" t="s">
        <v>177</v>
      </c>
      <c r="G23" s="122"/>
      <c r="H23" s="122"/>
      <c r="I23" s="122"/>
      <c r="J23" s="135" t="s">
        <v>178</v>
      </c>
      <c r="K23" s="123"/>
      <c r="L23" s="124"/>
    </row>
    <row r="24" spans="1:12" s="83" customFormat="1" ht="409.5" x14ac:dyDescent="0.35">
      <c r="A24" s="105" t="s">
        <v>205</v>
      </c>
      <c r="B24" s="130" t="s">
        <v>21</v>
      </c>
      <c r="C24" s="120"/>
      <c r="D24" s="120"/>
      <c r="E24" s="139" t="s">
        <v>179</v>
      </c>
      <c r="F24" s="132" t="s">
        <v>180</v>
      </c>
      <c r="G24" s="122"/>
      <c r="H24" s="122"/>
      <c r="I24" s="122"/>
      <c r="J24" s="226" t="s">
        <v>367</v>
      </c>
      <c r="K24" s="123"/>
      <c r="L24" s="150" t="s">
        <v>345</v>
      </c>
    </row>
    <row r="25" spans="1:12" s="82" customFormat="1" ht="40" x14ac:dyDescent="0.35">
      <c r="A25" s="145" t="s">
        <v>206</v>
      </c>
      <c r="B25" s="151" t="s">
        <v>42</v>
      </c>
      <c r="C25" s="120"/>
      <c r="D25" s="120"/>
      <c r="E25" s="122"/>
      <c r="F25" s="122"/>
      <c r="G25" s="122"/>
      <c r="H25" s="122"/>
      <c r="I25" s="122"/>
      <c r="J25" s="122"/>
      <c r="K25" s="123"/>
      <c r="L25" s="124"/>
    </row>
    <row r="26" spans="1:12" s="82" customFormat="1" ht="82" x14ac:dyDescent="0.35">
      <c r="A26" s="120"/>
      <c r="B26" s="120"/>
      <c r="C26" s="152" t="s">
        <v>189</v>
      </c>
      <c r="D26" s="106" t="s">
        <v>14</v>
      </c>
      <c r="E26" s="128" t="s">
        <v>181</v>
      </c>
      <c r="F26" s="129" t="s">
        <v>182</v>
      </c>
      <c r="G26" s="122"/>
      <c r="H26" s="122"/>
      <c r="I26" s="122"/>
      <c r="J26" s="122"/>
      <c r="K26" s="123"/>
      <c r="L26" s="124"/>
    </row>
    <row r="27" spans="1:12" s="82" customFormat="1" ht="143.5" x14ac:dyDescent="0.35">
      <c r="A27" s="120"/>
      <c r="B27" s="120"/>
      <c r="C27" s="153" t="s">
        <v>124</v>
      </c>
      <c r="D27" s="130" t="s">
        <v>207</v>
      </c>
      <c r="E27" s="122"/>
      <c r="F27" s="122"/>
      <c r="G27" s="122"/>
      <c r="H27" s="141" t="s">
        <v>209</v>
      </c>
      <c r="I27" s="107" t="s">
        <v>211</v>
      </c>
      <c r="J27" s="129" t="s">
        <v>233</v>
      </c>
      <c r="K27" s="123"/>
      <c r="L27" s="124"/>
    </row>
    <row r="28" spans="1:12" s="82" customFormat="1" ht="60" x14ac:dyDescent="0.35">
      <c r="A28" s="120"/>
      <c r="B28" s="120"/>
      <c r="C28" s="153" t="s">
        <v>124</v>
      </c>
      <c r="D28" s="130" t="s">
        <v>208</v>
      </c>
      <c r="E28" s="122"/>
      <c r="F28" s="122"/>
      <c r="G28" s="122"/>
      <c r="H28" s="131" t="s">
        <v>210</v>
      </c>
      <c r="I28" s="149" t="s">
        <v>212</v>
      </c>
      <c r="J28" s="122"/>
      <c r="K28" s="123"/>
      <c r="L28" s="124"/>
    </row>
    <row r="29" spans="1:12" s="82" customFormat="1" ht="61.5" x14ac:dyDescent="0.35">
      <c r="A29" s="120"/>
      <c r="B29" s="120"/>
      <c r="C29" s="153" t="s">
        <v>192</v>
      </c>
      <c r="D29" s="130" t="s">
        <v>213</v>
      </c>
      <c r="E29" s="122"/>
      <c r="F29" s="122"/>
      <c r="G29" s="122"/>
      <c r="H29" s="131" t="s">
        <v>214</v>
      </c>
      <c r="I29" s="132" t="s">
        <v>215</v>
      </c>
      <c r="J29" s="122"/>
      <c r="K29" s="123"/>
      <c r="L29" s="124"/>
    </row>
    <row r="30" spans="1:12" s="82" customFormat="1" ht="21" x14ac:dyDescent="0.35">
      <c r="A30" s="120"/>
      <c r="B30" s="120"/>
      <c r="C30" s="153" t="s">
        <v>193</v>
      </c>
      <c r="D30" s="130" t="s">
        <v>216</v>
      </c>
      <c r="E30" s="122"/>
      <c r="F30" s="122"/>
      <c r="G30" s="122"/>
      <c r="H30" s="121" t="s">
        <v>217</v>
      </c>
      <c r="I30" s="122"/>
      <c r="J30" s="122"/>
      <c r="K30" s="123"/>
      <c r="L30" s="124"/>
    </row>
    <row r="31" spans="1:12" s="82" customFormat="1" ht="102.5" x14ac:dyDescent="0.35">
      <c r="A31" s="120"/>
      <c r="B31" s="120"/>
      <c r="C31" s="153" t="s">
        <v>194</v>
      </c>
      <c r="D31" s="130" t="s">
        <v>218</v>
      </c>
      <c r="E31" s="122"/>
      <c r="F31" s="122"/>
      <c r="G31" s="122"/>
      <c r="H31" s="131" t="s">
        <v>219</v>
      </c>
      <c r="I31" s="129" t="s">
        <v>220</v>
      </c>
      <c r="J31" s="122"/>
      <c r="K31" s="123"/>
      <c r="L31" s="124"/>
    </row>
    <row r="32" spans="1:12" s="82" customFormat="1" ht="60" x14ac:dyDescent="0.35">
      <c r="A32" s="120"/>
      <c r="B32" s="120"/>
      <c r="C32" s="153" t="s">
        <v>195</v>
      </c>
      <c r="D32" s="130" t="s">
        <v>221</v>
      </c>
      <c r="E32" s="122"/>
      <c r="F32" s="122"/>
      <c r="G32" s="122"/>
      <c r="H32" s="121" t="s">
        <v>222</v>
      </c>
      <c r="I32" s="122"/>
      <c r="J32" s="154" t="s">
        <v>234</v>
      </c>
      <c r="K32" s="155" t="s">
        <v>267</v>
      </c>
      <c r="L32" s="124"/>
    </row>
    <row r="33" spans="1:13" s="82" customFormat="1" ht="54" customHeight="1" x14ac:dyDescent="0.35">
      <c r="A33" s="120"/>
      <c r="B33" s="120"/>
      <c r="C33" s="153" t="s">
        <v>196</v>
      </c>
      <c r="D33" s="130" t="s">
        <v>223</v>
      </c>
      <c r="E33" s="122"/>
      <c r="F33" s="122"/>
      <c r="G33" s="122"/>
      <c r="H33" s="121" t="s">
        <v>224</v>
      </c>
      <c r="I33" s="122"/>
      <c r="J33" s="122"/>
      <c r="K33" s="123"/>
      <c r="L33" s="124"/>
    </row>
    <row r="34" spans="1:13" s="82" customFormat="1" ht="40" x14ac:dyDescent="0.35">
      <c r="A34" s="120"/>
      <c r="B34" s="120"/>
      <c r="C34" s="153" t="s">
        <v>197</v>
      </c>
      <c r="D34" s="130" t="s">
        <v>225</v>
      </c>
      <c r="E34" s="122"/>
      <c r="F34" s="122"/>
      <c r="G34" s="122"/>
      <c r="H34" s="135" t="s">
        <v>226</v>
      </c>
      <c r="I34" s="122"/>
      <c r="J34" s="122"/>
      <c r="K34" s="123"/>
      <c r="L34" s="124"/>
    </row>
    <row r="35" spans="1:13" s="82" customFormat="1" ht="60" x14ac:dyDescent="0.35">
      <c r="A35" s="120"/>
      <c r="B35" s="120"/>
      <c r="C35" s="153" t="s">
        <v>198</v>
      </c>
      <c r="D35" s="130" t="s">
        <v>227</v>
      </c>
      <c r="E35" s="122"/>
      <c r="F35" s="122"/>
      <c r="G35" s="122"/>
      <c r="H35" s="122"/>
      <c r="I35" s="122"/>
      <c r="J35" s="122"/>
      <c r="K35" s="123"/>
      <c r="L35" s="124"/>
    </row>
    <row r="36" spans="1:13" s="82" customFormat="1" ht="102.5" x14ac:dyDescent="0.35">
      <c r="A36" s="120"/>
      <c r="B36" s="120"/>
      <c r="C36" s="153" t="s">
        <v>199</v>
      </c>
      <c r="D36" s="130" t="s">
        <v>61</v>
      </c>
      <c r="E36" s="122"/>
      <c r="F36" s="122"/>
      <c r="G36" s="122"/>
      <c r="H36" s="141" t="s">
        <v>228</v>
      </c>
      <c r="I36" s="128" t="s">
        <v>229</v>
      </c>
      <c r="J36" s="129" t="s">
        <v>235</v>
      </c>
      <c r="K36" s="123"/>
      <c r="L36" s="124"/>
    </row>
    <row r="37" spans="1:13" s="82" customFormat="1" ht="80" x14ac:dyDescent="0.35">
      <c r="A37" s="120"/>
      <c r="B37" s="120"/>
      <c r="C37" s="153" t="s">
        <v>200</v>
      </c>
      <c r="D37" s="130" t="s">
        <v>230</v>
      </c>
      <c r="E37" s="122"/>
      <c r="F37" s="122"/>
      <c r="G37" s="122"/>
      <c r="H37" s="121" t="s">
        <v>231</v>
      </c>
      <c r="I37" s="122"/>
      <c r="J37" s="156"/>
      <c r="K37" s="123"/>
      <c r="L37" s="124"/>
    </row>
    <row r="38" spans="1:13" s="82" customFormat="1" ht="61.5" x14ac:dyDescent="0.35">
      <c r="A38" s="120"/>
      <c r="B38" s="120"/>
      <c r="C38" s="153" t="s">
        <v>201</v>
      </c>
      <c r="D38" s="130" t="s">
        <v>63</v>
      </c>
      <c r="E38" s="122"/>
      <c r="F38" s="122"/>
      <c r="G38" s="122"/>
      <c r="H38" s="121" t="s">
        <v>232</v>
      </c>
      <c r="I38" s="122"/>
      <c r="J38" s="122"/>
      <c r="K38" s="123"/>
      <c r="L38" s="124"/>
    </row>
    <row r="39" spans="1:13" s="82" customFormat="1" ht="21" x14ac:dyDescent="0.35">
      <c r="A39" s="120"/>
      <c r="B39" s="120"/>
      <c r="C39" s="153" t="s">
        <v>201</v>
      </c>
      <c r="D39" s="130" t="s">
        <v>63</v>
      </c>
      <c r="E39" s="122"/>
      <c r="F39" s="122"/>
      <c r="G39" s="122"/>
      <c r="H39" s="135" t="s">
        <v>288</v>
      </c>
      <c r="I39" s="122"/>
      <c r="J39" s="122"/>
      <c r="K39" s="123"/>
      <c r="L39" s="124"/>
    </row>
    <row r="40" spans="1:13" s="82" customFormat="1" ht="41" x14ac:dyDescent="0.35">
      <c r="A40" s="120"/>
      <c r="B40" s="120"/>
      <c r="C40" s="153" t="s">
        <v>244</v>
      </c>
      <c r="D40" s="130" t="s">
        <v>63</v>
      </c>
      <c r="E40" s="122"/>
      <c r="F40" s="122"/>
      <c r="G40" s="122"/>
      <c r="H40" s="122"/>
      <c r="I40" s="122"/>
      <c r="J40" s="138" t="s">
        <v>243</v>
      </c>
      <c r="K40" s="123"/>
      <c r="L40" s="124"/>
    </row>
    <row r="41" spans="1:13" s="82" customFormat="1" ht="61.5" x14ac:dyDescent="0.35">
      <c r="A41" s="120"/>
      <c r="B41" s="120"/>
      <c r="C41" s="153" t="s">
        <v>245</v>
      </c>
      <c r="D41" s="130" t="s">
        <v>63</v>
      </c>
      <c r="E41" s="122"/>
      <c r="F41" s="122"/>
      <c r="G41" s="122"/>
      <c r="H41" s="122"/>
      <c r="I41" s="122"/>
      <c r="J41" s="121" t="s">
        <v>237</v>
      </c>
      <c r="K41" s="123"/>
      <c r="L41" s="124"/>
    </row>
    <row r="42" spans="1:13" s="82" customFormat="1" ht="41" x14ac:dyDescent="0.35">
      <c r="A42" s="120"/>
      <c r="B42" s="120"/>
      <c r="C42" s="153" t="s">
        <v>246</v>
      </c>
      <c r="D42" s="130" t="s">
        <v>63</v>
      </c>
      <c r="E42" s="122"/>
      <c r="F42" s="122"/>
      <c r="G42" s="122"/>
      <c r="H42" s="122"/>
      <c r="I42" s="122"/>
      <c r="J42" s="121" t="s">
        <v>239</v>
      </c>
      <c r="K42" s="123"/>
      <c r="L42" s="124"/>
    </row>
    <row r="43" spans="1:13" s="59" customFormat="1" ht="123" x14ac:dyDescent="0.35">
      <c r="A43" s="157"/>
      <c r="B43" s="157"/>
      <c r="C43" s="153" t="s">
        <v>247</v>
      </c>
      <c r="D43" s="130" t="s">
        <v>63</v>
      </c>
      <c r="E43" s="158"/>
      <c r="F43" s="159"/>
      <c r="G43" s="159"/>
      <c r="H43" s="158"/>
      <c r="I43" s="158"/>
      <c r="J43" s="160" t="s">
        <v>363</v>
      </c>
      <c r="K43" s="161"/>
      <c r="L43" s="162"/>
    </row>
    <row r="44" spans="1:13" s="59" customFormat="1" ht="61.5" x14ac:dyDescent="0.35">
      <c r="A44" s="157"/>
      <c r="B44" s="157"/>
      <c r="C44" s="153" t="s">
        <v>248</v>
      </c>
      <c r="D44" s="130" t="s">
        <v>63</v>
      </c>
      <c r="E44" s="158"/>
      <c r="F44" s="158"/>
      <c r="G44" s="158"/>
      <c r="H44" s="158"/>
      <c r="I44" s="158"/>
      <c r="J44" s="160" t="s">
        <v>240</v>
      </c>
      <c r="K44" s="161"/>
      <c r="L44" s="162"/>
      <c r="M44" s="59" t="s">
        <v>356</v>
      </c>
    </row>
    <row r="45" spans="1:13" s="59" customFormat="1" ht="102.5" x14ac:dyDescent="0.35">
      <c r="A45" s="157"/>
      <c r="B45" s="157"/>
      <c r="C45" s="153" t="s">
        <v>249</v>
      </c>
      <c r="D45" s="130" t="s">
        <v>63</v>
      </c>
      <c r="E45" s="158"/>
      <c r="F45" s="158"/>
      <c r="G45" s="158"/>
      <c r="H45" s="158"/>
      <c r="I45" s="158"/>
      <c r="J45" s="160" t="s">
        <v>242</v>
      </c>
      <c r="K45" s="161"/>
      <c r="L45" s="162"/>
      <c r="M45" s="59" t="s">
        <v>357</v>
      </c>
    </row>
    <row r="46" spans="1:13" s="59" customFormat="1" ht="61.5" x14ac:dyDescent="0.35">
      <c r="A46" s="157"/>
      <c r="B46" s="157"/>
      <c r="C46" s="153" t="s">
        <v>251</v>
      </c>
      <c r="D46" s="130" t="s">
        <v>63</v>
      </c>
      <c r="E46" s="158"/>
      <c r="F46" s="158"/>
      <c r="G46" s="158"/>
      <c r="H46" s="158"/>
      <c r="I46" s="158"/>
      <c r="J46" s="160" t="s">
        <v>250</v>
      </c>
      <c r="K46" s="161"/>
      <c r="L46" s="162"/>
    </row>
    <row r="47" spans="1:13" s="59" customFormat="1" ht="61.5" x14ac:dyDescent="0.35">
      <c r="A47" s="157"/>
      <c r="B47" s="157"/>
      <c r="C47" s="153" t="s">
        <v>252</v>
      </c>
      <c r="D47" s="130" t="s">
        <v>63</v>
      </c>
      <c r="E47" s="158"/>
      <c r="F47" s="158"/>
      <c r="G47" s="158"/>
      <c r="H47" s="158"/>
      <c r="I47" s="158"/>
      <c r="J47" s="160" t="s">
        <v>359</v>
      </c>
      <c r="K47" s="161"/>
      <c r="L47" s="162"/>
    </row>
    <row r="48" spans="1:13" s="59" customFormat="1" ht="61.5" x14ac:dyDescent="0.35">
      <c r="A48" s="157"/>
      <c r="B48" s="157"/>
      <c r="C48" s="153" t="s">
        <v>253</v>
      </c>
      <c r="D48" s="130" t="s">
        <v>63</v>
      </c>
      <c r="E48" s="158"/>
      <c r="F48" s="158"/>
      <c r="G48" s="158"/>
      <c r="H48" s="158"/>
      <c r="I48" s="158"/>
      <c r="J48" s="160" t="s">
        <v>241</v>
      </c>
      <c r="K48" s="161"/>
      <c r="L48" s="162"/>
    </row>
    <row r="49" spans="1:13" s="59" customFormat="1" ht="102.5" x14ac:dyDescent="0.35">
      <c r="A49" s="157"/>
      <c r="B49" s="157"/>
      <c r="C49" s="153" t="s">
        <v>254</v>
      </c>
      <c r="D49" s="130" t="s">
        <v>63</v>
      </c>
      <c r="E49" s="158"/>
      <c r="F49" s="158"/>
      <c r="G49" s="158"/>
      <c r="H49" s="158"/>
      <c r="I49" s="158"/>
      <c r="J49" s="163" t="s">
        <v>255</v>
      </c>
      <c r="K49" s="164" t="s">
        <v>256</v>
      </c>
      <c r="L49" s="162"/>
    </row>
    <row r="50" spans="1:13" s="59" customFormat="1" ht="82" x14ac:dyDescent="0.35">
      <c r="A50" s="157"/>
      <c r="B50" s="157"/>
      <c r="C50" s="165" t="s">
        <v>257</v>
      </c>
      <c r="D50" s="130" t="s">
        <v>63</v>
      </c>
      <c r="E50" s="158"/>
      <c r="F50" s="158"/>
      <c r="G50" s="158"/>
      <c r="H50" s="158"/>
      <c r="I50" s="158"/>
      <c r="J50" s="225" t="s">
        <v>362</v>
      </c>
      <c r="K50" s="161"/>
      <c r="L50" s="162"/>
      <c r="M50" s="59" t="s">
        <v>358</v>
      </c>
    </row>
    <row r="51" spans="1:13" s="59" customFormat="1" ht="40" x14ac:dyDescent="0.35">
      <c r="A51" s="157"/>
      <c r="B51" s="157"/>
      <c r="C51" s="165" t="s">
        <v>264</v>
      </c>
      <c r="D51" s="166" t="s">
        <v>265</v>
      </c>
      <c r="E51" s="158"/>
      <c r="F51" s="158"/>
      <c r="G51" s="158"/>
      <c r="H51" s="158"/>
      <c r="I51" s="158"/>
      <c r="J51" s="158"/>
      <c r="K51" s="161"/>
      <c r="L51" s="162"/>
    </row>
    <row r="52" spans="1:13" s="59" customFormat="1" ht="42" x14ac:dyDescent="0.35">
      <c r="A52" s="157"/>
      <c r="B52" s="157"/>
      <c r="C52" s="167" t="s">
        <v>269</v>
      </c>
      <c r="D52" s="157"/>
      <c r="E52" s="158"/>
      <c r="F52" s="158"/>
      <c r="G52" s="158"/>
      <c r="H52" s="158"/>
      <c r="I52" s="158"/>
      <c r="J52" s="158"/>
      <c r="K52" s="168" t="s">
        <v>268</v>
      </c>
      <c r="L52" s="162"/>
    </row>
    <row r="53" spans="1:13" s="59" customFormat="1" ht="42" x14ac:dyDescent="0.35">
      <c r="A53" s="157"/>
      <c r="B53" s="157"/>
      <c r="C53" s="167" t="s">
        <v>270</v>
      </c>
      <c r="D53" s="157"/>
      <c r="E53" s="158"/>
      <c r="F53" s="158"/>
      <c r="G53" s="158"/>
      <c r="H53" s="158"/>
      <c r="I53" s="158"/>
      <c r="J53" s="158"/>
      <c r="K53" s="169" t="s">
        <v>271</v>
      </c>
      <c r="L53" s="162"/>
    </row>
    <row r="54" spans="1:13" s="59" customFormat="1" ht="42" x14ac:dyDescent="0.35">
      <c r="A54" s="157"/>
      <c r="B54" s="157"/>
      <c r="C54" s="167" t="s">
        <v>272</v>
      </c>
      <c r="D54" s="157"/>
      <c r="E54" s="158"/>
      <c r="F54" s="158"/>
      <c r="G54" s="158"/>
      <c r="H54" s="158"/>
      <c r="I54" s="158"/>
      <c r="J54" s="158"/>
      <c r="K54" s="169" t="s">
        <v>273</v>
      </c>
      <c r="L54" s="162"/>
    </row>
    <row r="55" spans="1:13" s="59" customFormat="1" ht="52.5" customHeight="1" x14ac:dyDescent="0.35">
      <c r="A55" s="157"/>
      <c r="B55" s="157"/>
      <c r="C55" s="170" t="s">
        <v>275</v>
      </c>
      <c r="D55" s="171"/>
      <c r="E55" s="158"/>
      <c r="F55" s="158"/>
      <c r="G55" s="158"/>
      <c r="H55" s="158"/>
      <c r="I55" s="158"/>
      <c r="J55" s="158"/>
      <c r="K55" s="169" t="s">
        <v>274</v>
      </c>
      <c r="L55" s="162"/>
    </row>
    <row r="56" spans="1:13" s="59" customFormat="1" ht="64.5" customHeight="1" x14ac:dyDescent="0.35">
      <c r="A56" s="157"/>
      <c r="B56" s="157"/>
      <c r="C56" s="170" t="s">
        <v>276</v>
      </c>
      <c r="D56" s="171"/>
      <c r="E56" s="158"/>
      <c r="F56" s="158"/>
      <c r="G56" s="158"/>
      <c r="H56" s="158"/>
      <c r="I56" s="158"/>
      <c r="J56" s="158"/>
      <c r="K56" s="169" t="s">
        <v>277</v>
      </c>
      <c r="L56" s="162"/>
    </row>
    <row r="57" spans="1:13" s="59" customFormat="1" ht="42" x14ac:dyDescent="0.35">
      <c r="A57" s="157"/>
      <c r="B57" s="157"/>
      <c r="C57" s="170" t="s">
        <v>278</v>
      </c>
      <c r="D57" s="171"/>
      <c r="E57" s="158"/>
      <c r="F57" s="172"/>
      <c r="G57" s="158"/>
      <c r="H57" s="158"/>
      <c r="I57" s="158"/>
      <c r="J57" s="158"/>
      <c r="K57" s="169" t="s">
        <v>279</v>
      </c>
      <c r="L57" s="162"/>
    </row>
    <row r="58" spans="1:13" s="59" customFormat="1" ht="30.75" customHeight="1" x14ac:dyDescent="0.35">
      <c r="A58" s="157"/>
      <c r="B58" s="157"/>
      <c r="C58" s="170" t="s">
        <v>280</v>
      </c>
      <c r="D58" s="171"/>
      <c r="E58" s="158"/>
      <c r="F58" s="158"/>
      <c r="G58" s="158"/>
      <c r="H58" s="158"/>
      <c r="I58" s="158"/>
      <c r="J58" s="158"/>
      <c r="K58" s="169" t="s">
        <v>284</v>
      </c>
      <c r="L58" s="162"/>
    </row>
    <row r="59" spans="1:13" ht="42" x14ac:dyDescent="0.35">
      <c r="A59" s="173"/>
      <c r="B59" s="173"/>
      <c r="C59" s="170" t="s">
        <v>281</v>
      </c>
      <c r="D59" s="173"/>
      <c r="E59" s="123"/>
      <c r="F59" s="123"/>
      <c r="G59" s="123"/>
      <c r="H59" s="123"/>
      <c r="I59" s="123"/>
      <c r="J59" s="123"/>
      <c r="K59" s="174" t="s">
        <v>282</v>
      </c>
      <c r="L59" s="175"/>
    </row>
  </sheetData>
  <phoneticPr fontId="20"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C255B-991D-4977-AEFE-DD49FCC0FFEE}">
  <sheetPr>
    <tabColor rgb="FFFFFF00"/>
  </sheetPr>
  <dimension ref="A3:I15"/>
  <sheetViews>
    <sheetView workbookViewId="0">
      <selection activeCell="B4" sqref="B4"/>
    </sheetView>
  </sheetViews>
  <sheetFormatPr defaultRowHeight="14.5" x14ac:dyDescent="0.35"/>
  <cols>
    <col min="1" max="1" width="42.81640625" customWidth="1"/>
    <col min="2" max="2" width="12.1796875" customWidth="1"/>
    <col min="5" max="5" width="30.453125" customWidth="1"/>
    <col min="6" max="6" width="25.08984375" customWidth="1"/>
    <col min="7" max="7" width="16" customWidth="1"/>
    <col min="8" max="8" width="23.453125" customWidth="1"/>
    <col min="9" max="9" width="18.1796875" customWidth="1"/>
  </cols>
  <sheetData>
    <row r="3" spans="1:9" x14ac:dyDescent="0.35">
      <c r="A3" t="s">
        <v>1</v>
      </c>
      <c r="B3" s="81">
        <v>46059</v>
      </c>
      <c r="C3" t="s">
        <v>0</v>
      </c>
      <c r="E3" t="s">
        <v>1</v>
      </c>
      <c r="F3" t="s">
        <v>2</v>
      </c>
      <c r="G3" t="s">
        <v>3</v>
      </c>
      <c r="H3" t="s">
        <v>4</v>
      </c>
      <c r="I3" t="s">
        <v>5</v>
      </c>
    </row>
    <row r="4" spans="1:9" x14ac:dyDescent="0.35">
      <c r="A4" t="s">
        <v>2</v>
      </c>
      <c r="B4" s="3">
        <f>B3+5</f>
        <v>46064</v>
      </c>
      <c r="C4" t="s">
        <v>0</v>
      </c>
      <c r="E4" s="5">
        <v>45023</v>
      </c>
      <c r="F4" s="5">
        <f>E4+5</f>
        <v>45028</v>
      </c>
      <c r="G4" s="5">
        <f>F4+15</f>
        <v>45043</v>
      </c>
      <c r="H4" s="5">
        <f>G4+5</f>
        <v>45048</v>
      </c>
      <c r="I4" s="5">
        <f>H4+10</f>
        <v>45058</v>
      </c>
    </row>
    <row r="5" spans="1:9" x14ac:dyDescent="0.35">
      <c r="A5" t="s">
        <v>337</v>
      </c>
      <c r="B5" s="3">
        <f>B4+10</f>
        <v>46074</v>
      </c>
      <c r="C5" t="s">
        <v>0</v>
      </c>
    </row>
    <row r="6" spans="1:9" x14ac:dyDescent="0.35">
      <c r="A6" t="s">
        <v>6</v>
      </c>
      <c r="B6" s="3">
        <f>B5+10</f>
        <v>46084</v>
      </c>
      <c r="C6" t="s">
        <v>0</v>
      </c>
    </row>
    <row r="7" spans="1:9" x14ac:dyDescent="0.35">
      <c r="A7" t="s">
        <v>370</v>
      </c>
      <c r="B7" s="3">
        <f>B6+5</f>
        <v>46089</v>
      </c>
      <c r="C7" t="s">
        <v>0</v>
      </c>
    </row>
    <row r="8" spans="1:9" x14ac:dyDescent="0.35">
      <c r="A8" t="s">
        <v>24</v>
      </c>
      <c r="B8" s="3">
        <v>46096</v>
      </c>
      <c r="C8" t="s">
        <v>0</v>
      </c>
    </row>
    <row r="9" spans="1:9" x14ac:dyDescent="0.35">
      <c r="A9" t="s">
        <v>24</v>
      </c>
      <c r="B9" s="3">
        <f>B8+30</f>
        <v>46126</v>
      </c>
      <c r="C9" t="s">
        <v>0</v>
      </c>
    </row>
    <row r="10" spans="1:9" x14ac:dyDescent="0.35">
      <c r="A10" t="s">
        <v>23</v>
      </c>
      <c r="B10" s="3">
        <f>B9+30</f>
        <v>46156</v>
      </c>
      <c r="C10" t="s">
        <v>0</v>
      </c>
    </row>
    <row r="11" spans="1:9" x14ac:dyDescent="0.35">
      <c r="A11" t="s">
        <v>25</v>
      </c>
      <c r="B11" s="3">
        <f>B10+31</f>
        <v>46187</v>
      </c>
      <c r="C11" t="s">
        <v>0</v>
      </c>
    </row>
    <row r="12" spans="1:9" x14ac:dyDescent="0.35">
      <c r="A12" t="s">
        <v>26</v>
      </c>
      <c r="B12" s="3">
        <f>B11+31</f>
        <v>46218</v>
      </c>
      <c r="C12" t="s">
        <v>0</v>
      </c>
    </row>
    <row r="13" spans="1:9" x14ac:dyDescent="0.35">
      <c r="A13" t="s">
        <v>127</v>
      </c>
      <c r="B13" s="3">
        <f>B12+45</f>
        <v>46263</v>
      </c>
      <c r="C13" t="s">
        <v>0</v>
      </c>
    </row>
    <row r="14" spans="1:9" x14ac:dyDescent="0.35">
      <c r="A14" t="s">
        <v>39</v>
      </c>
      <c r="B14" s="3">
        <f>B13+30</f>
        <v>46293</v>
      </c>
      <c r="C14" t="s">
        <v>0</v>
      </c>
    </row>
    <row r="15" spans="1:9" x14ac:dyDescent="0.35">
      <c r="A15" t="s">
        <v>40</v>
      </c>
      <c r="B15" s="3">
        <f>B14+30</f>
        <v>46323</v>
      </c>
      <c r="C15" t="s">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4CBD2B-AB04-442A-AF5A-DA1DFE42D660}">
  <dimension ref="A1:AD30"/>
  <sheetViews>
    <sheetView zoomScaleNormal="100" workbookViewId="0">
      <selection activeCell="E43" sqref="E43"/>
    </sheetView>
  </sheetViews>
  <sheetFormatPr defaultRowHeight="14.5" x14ac:dyDescent="0.35"/>
  <cols>
    <col min="1" max="1" width="19.08984375" bestFit="1" customWidth="1"/>
    <col min="2" max="2" width="16.36328125" customWidth="1"/>
    <col min="3" max="3" width="16.90625" customWidth="1"/>
    <col min="4" max="5" width="9.81640625" customWidth="1"/>
    <col min="6" max="6" width="14" customWidth="1"/>
    <col min="7" max="7" width="8.54296875" customWidth="1"/>
    <col min="8" max="9" width="11" customWidth="1"/>
    <col min="10" max="10" width="13.08984375" customWidth="1"/>
    <col min="11" max="24" width="11" customWidth="1"/>
    <col min="25" max="26" width="9.90625" bestFit="1" customWidth="1"/>
    <col min="27" max="27" width="11" bestFit="1" customWidth="1"/>
    <col min="29" max="29" width="13.453125" customWidth="1"/>
  </cols>
  <sheetData>
    <row r="1" spans="1:30" ht="15" thickBot="1" x14ac:dyDescent="0.4">
      <c r="I1" s="316" t="s">
        <v>328</v>
      </c>
      <c r="J1" s="317"/>
      <c r="K1" s="317"/>
      <c r="L1" s="318"/>
      <c r="M1" s="316" t="s">
        <v>329</v>
      </c>
      <c r="N1" s="317"/>
      <c r="O1" s="317"/>
      <c r="P1" s="318"/>
      <c r="Q1" s="316" t="s">
        <v>330</v>
      </c>
      <c r="R1" s="317"/>
      <c r="S1" s="317"/>
      <c r="T1" s="318"/>
      <c r="U1" s="316" t="s">
        <v>365</v>
      </c>
      <c r="V1" s="317"/>
      <c r="W1" s="318"/>
      <c r="X1" s="2"/>
    </row>
    <row r="2" spans="1:30" ht="44" thickBot="1" x14ac:dyDescent="0.4">
      <c r="A2" t="s">
        <v>296</v>
      </c>
      <c r="B2" t="s">
        <v>297</v>
      </c>
      <c r="C2" t="s">
        <v>298</v>
      </c>
      <c r="D2" t="s">
        <v>299</v>
      </c>
      <c r="E2" s="88" t="s">
        <v>323</v>
      </c>
      <c r="F2" s="88" t="s">
        <v>322</v>
      </c>
      <c r="H2" t="s">
        <v>321</v>
      </c>
      <c r="I2" s="98" t="s">
        <v>324</v>
      </c>
      <c r="J2" s="99" t="s">
        <v>325</v>
      </c>
      <c r="K2" s="99" t="s">
        <v>326</v>
      </c>
      <c r="L2" s="100" t="s">
        <v>327</v>
      </c>
      <c r="M2" s="98" t="s">
        <v>324</v>
      </c>
      <c r="N2" s="99" t="s">
        <v>325</v>
      </c>
      <c r="O2" s="99" t="s">
        <v>326</v>
      </c>
      <c r="P2" s="100" t="s">
        <v>327</v>
      </c>
      <c r="Q2" s="98" t="s">
        <v>324</v>
      </c>
      <c r="R2" s="99" t="s">
        <v>325</v>
      </c>
      <c r="S2" s="99" t="s">
        <v>326</v>
      </c>
      <c r="T2" s="100" t="s">
        <v>327</v>
      </c>
      <c r="U2" s="98" t="s">
        <v>324</v>
      </c>
      <c r="V2" s="99" t="s">
        <v>366</v>
      </c>
      <c r="W2" s="100" t="s">
        <v>327</v>
      </c>
      <c r="X2" s="29"/>
    </row>
    <row r="3" spans="1:30" x14ac:dyDescent="0.35">
      <c r="A3" t="s">
        <v>300</v>
      </c>
      <c r="B3" s="84">
        <v>151280718.71601427</v>
      </c>
      <c r="C3" s="84">
        <v>46786208.428570531</v>
      </c>
      <c r="D3" s="28">
        <v>628</v>
      </c>
      <c r="E3" s="28">
        <f t="shared" ref="E3:E23" si="0">_xlfn.XLOOKUP(A3,$AC$3:$AC$23,$AD$3:$AD$23)</f>
        <v>44</v>
      </c>
      <c r="F3" s="89">
        <f t="shared" ref="F3:F23" si="1">D3/E3</f>
        <v>14.272727272727273</v>
      </c>
      <c r="G3" s="102">
        <f t="shared" ref="G3:G23" si="2">D3/$AB$4</f>
        <v>0.70960451977401129</v>
      </c>
      <c r="H3" s="91">
        <f t="shared" ref="H3:H23" si="3">ROUND(G3/0.7,0)</f>
        <v>1</v>
      </c>
      <c r="I3" s="92">
        <v>1</v>
      </c>
      <c r="J3" s="93">
        <v>1</v>
      </c>
      <c r="K3" s="93">
        <v>3</v>
      </c>
      <c r="L3" s="94">
        <v>1</v>
      </c>
      <c r="M3" s="92">
        <v>1</v>
      </c>
      <c r="N3" s="93">
        <v>1</v>
      </c>
      <c r="O3" s="93">
        <f t="shared" ref="O3:O23" si="4">H3</f>
        <v>1</v>
      </c>
      <c r="P3" s="94">
        <v>1</v>
      </c>
      <c r="Q3" s="92">
        <v>1</v>
      </c>
      <c r="R3" s="93"/>
      <c r="S3" s="93">
        <f t="shared" ref="S3:S23" si="5">H3</f>
        <v>1</v>
      </c>
      <c r="T3" s="94">
        <f t="shared" ref="T3:T23" si="6">S3</f>
        <v>1</v>
      </c>
      <c r="U3" s="92">
        <v>1</v>
      </c>
      <c r="V3" s="93">
        <f>H3</f>
        <v>1</v>
      </c>
      <c r="W3" s="94">
        <v>1</v>
      </c>
      <c r="X3" s="90"/>
      <c r="Y3" s="3">
        <v>46068</v>
      </c>
      <c r="Z3" s="3">
        <v>46265</v>
      </c>
      <c r="AA3">
        <f>Z3-Y3</f>
        <v>197</v>
      </c>
      <c r="AB3">
        <f>AA3-20</f>
        <v>177</v>
      </c>
      <c r="AC3" t="s">
        <v>300</v>
      </c>
      <c r="AD3">
        <v>44</v>
      </c>
    </row>
    <row r="4" spans="1:30" x14ac:dyDescent="0.35">
      <c r="A4" t="s">
        <v>301</v>
      </c>
      <c r="B4" s="84">
        <v>155884996.66773981</v>
      </c>
      <c r="C4" s="84">
        <v>48519718.146919586</v>
      </c>
      <c r="D4" s="28">
        <v>844</v>
      </c>
      <c r="E4" s="28">
        <f t="shared" si="0"/>
        <v>96</v>
      </c>
      <c r="F4" s="89">
        <f t="shared" si="1"/>
        <v>8.7916666666666661</v>
      </c>
      <c r="G4" s="102">
        <f t="shared" si="2"/>
        <v>0.95367231638418082</v>
      </c>
      <c r="H4" s="91">
        <f t="shared" si="3"/>
        <v>1</v>
      </c>
      <c r="I4" s="92">
        <v>1</v>
      </c>
      <c r="J4" s="93">
        <v>1</v>
      </c>
      <c r="K4" s="93">
        <v>3</v>
      </c>
      <c r="L4" s="94">
        <v>1</v>
      </c>
      <c r="M4" s="92">
        <v>1</v>
      </c>
      <c r="N4" s="93">
        <v>1</v>
      </c>
      <c r="O4" s="93">
        <f t="shared" si="4"/>
        <v>1</v>
      </c>
      <c r="P4" s="94">
        <v>1</v>
      </c>
      <c r="Q4" s="92">
        <v>1</v>
      </c>
      <c r="R4" s="93"/>
      <c r="S4" s="93">
        <f t="shared" si="5"/>
        <v>1</v>
      </c>
      <c r="T4" s="94">
        <f t="shared" si="6"/>
        <v>1</v>
      </c>
      <c r="U4" s="92">
        <v>1</v>
      </c>
      <c r="V4" s="93">
        <f t="shared" ref="V4:V23" si="7">H4</f>
        <v>1</v>
      </c>
      <c r="W4" s="94">
        <v>1</v>
      </c>
      <c r="X4" s="90"/>
      <c r="AA4" s="86"/>
      <c r="AB4">
        <f>5*AB3</f>
        <v>885</v>
      </c>
      <c r="AC4" t="s">
        <v>319</v>
      </c>
      <c r="AD4">
        <v>55</v>
      </c>
    </row>
    <row r="5" spans="1:30" x14ac:dyDescent="0.35">
      <c r="A5" t="s">
        <v>302</v>
      </c>
      <c r="B5" s="84">
        <v>239398033.10897592</v>
      </c>
      <c r="C5" s="103">
        <v>75056994.85531643</v>
      </c>
      <c r="D5" s="28">
        <v>1550</v>
      </c>
      <c r="E5" s="28">
        <f t="shared" si="0"/>
        <v>57</v>
      </c>
      <c r="F5" s="89">
        <f t="shared" si="1"/>
        <v>27.192982456140349</v>
      </c>
      <c r="G5" s="102">
        <f t="shared" si="2"/>
        <v>1.7514124293785311</v>
      </c>
      <c r="H5" s="91">
        <f t="shared" si="3"/>
        <v>3</v>
      </c>
      <c r="I5" s="92">
        <v>1</v>
      </c>
      <c r="J5" s="93">
        <v>1</v>
      </c>
      <c r="K5" s="93">
        <v>3</v>
      </c>
      <c r="L5" s="94">
        <v>1</v>
      </c>
      <c r="M5" s="92">
        <v>1</v>
      </c>
      <c r="N5" s="93">
        <v>1</v>
      </c>
      <c r="O5" s="93">
        <f t="shared" si="4"/>
        <v>3</v>
      </c>
      <c r="P5" s="94">
        <v>1</v>
      </c>
      <c r="Q5" s="92">
        <v>1</v>
      </c>
      <c r="R5" s="93">
        <v>1</v>
      </c>
      <c r="S5" s="93">
        <f t="shared" si="5"/>
        <v>3</v>
      </c>
      <c r="T5" s="94">
        <f t="shared" si="6"/>
        <v>3</v>
      </c>
      <c r="U5" s="92">
        <v>1</v>
      </c>
      <c r="V5" s="93">
        <f t="shared" si="7"/>
        <v>3</v>
      </c>
      <c r="W5" s="94">
        <v>1</v>
      </c>
      <c r="X5" s="90"/>
      <c r="AC5" t="s">
        <v>312</v>
      </c>
      <c r="AD5">
        <v>45</v>
      </c>
    </row>
    <row r="6" spans="1:30" x14ac:dyDescent="0.35">
      <c r="A6" t="s">
        <v>303</v>
      </c>
      <c r="B6" s="84">
        <v>170927474.47780657</v>
      </c>
      <c r="C6" s="84">
        <v>53589863.12812572</v>
      </c>
      <c r="D6" s="28">
        <v>1081</v>
      </c>
      <c r="E6" s="28">
        <f t="shared" si="0"/>
        <v>29</v>
      </c>
      <c r="F6" s="89">
        <f t="shared" si="1"/>
        <v>37.275862068965516</v>
      </c>
      <c r="G6" s="102">
        <f t="shared" si="2"/>
        <v>1.2214689265536722</v>
      </c>
      <c r="H6" s="91">
        <f t="shared" si="3"/>
        <v>2</v>
      </c>
      <c r="I6" s="92">
        <v>1</v>
      </c>
      <c r="J6" s="93">
        <v>1</v>
      </c>
      <c r="K6" s="93">
        <v>3</v>
      </c>
      <c r="L6" s="94">
        <v>1</v>
      </c>
      <c r="M6" s="92">
        <v>1</v>
      </c>
      <c r="N6" s="93">
        <v>1</v>
      </c>
      <c r="O6" s="93">
        <f t="shared" si="4"/>
        <v>2</v>
      </c>
      <c r="P6" s="94">
        <v>1</v>
      </c>
      <c r="Q6" s="92">
        <v>1</v>
      </c>
      <c r="R6" s="93">
        <v>1</v>
      </c>
      <c r="S6" s="93">
        <f t="shared" si="5"/>
        <v>2</v>
      </c>
      <c r="T6" s="94">
        <f t="shared" si="6"/>
        <v>2</v>
      </c>
      <c r="U6" s="92">
        <v>1</v>
      </c>
      <c r="V6" s="93">
        <f t="shared" si="7"/>
        <v>2</v>
      </c>
      <c r="W6" s="94">
        <v>1</v>
      </c>
      <c r="X6" s="90"/>
      <c r="AC6" t="s">
        <v>320</v>
      </c>
      <c r="AD6">
        <v>42</v>
      </c>
    </row>
    <row r="7" spans="1:30" x14ac:dyDescent="0.35">
      <c r="A7" t="s">
        <v>304</v>
      </c>
      <c r="B7" s="84">
        <v>169801578.72505102</v>
      </c>
      <c r="C7" s="84">
        <v>53737196.446794257</v>
      </c>
      <c r="D7" s="28">
        <v>1001</v>
      </c>
      <c r="E7" s="28">
        <f t="shared" si="0"/>
        <v>31</v>
      </c>
      <c r="F7" s="89">
        <f t="shared" si="1"/>
        <v>32.29032258064516</v>
      </c>
      <c r="G7" s="102">
        <f t="shared" si="2"/>
        <v>1.1310734463276837</v>
      </c>
      <c r="H7" s="91">
        <f t="shared" si="3"/>
        <v>2</v>
      </c>
      <c r="I7" s="92">
        <v>1</v>
      </c>
      <c r="J7" s="93">
        <v>1</v>
      </c>
      <c r="K7" s="93">
        <v>3</v>
      </c>
      <c r="L7" s="94">
        <v>1</v>
      </c>
      <c r="M7" s="92">
        <v>1</v>
      </c>
      <c r="N7" s="93">
        <v>1</v>
      </c>
      <c r="O7" s="93">
        <f t="shared" si="4"/>
        <v>2</v>
      </c>
      <c r="P7" s="94">
        <v>1</v>
      </c>
      <c r="Q7" s="92">
        <v>1</v>
      </c>
      <c r="R7" s="93">
        <v>1</v>
      </c>
      <c r="S7" s="93">
        <f t="shared" si="5"/>
        <v>2</v>
      </c>
      <c r="T7" s="94">
        <f t="shared" si="6"/>
        <v>2</v>
      </c>
      <c r="U7" s="92">
        <v>1</v>
      </c>
      <c r="V7" s="93">
        <f t="shared" si="7"/>
        <v>2</v>
      </c>
      <c r="W7" s="94">
        <v>1</v>
      </c>
      <c r="X7" s="90"/>
      <c r="AC7" t="s">
        <v>313</v>
      </c>
      <c r="AD7">
        <v>49</v>
      </c>
    </row>
    <row r="8" spans="1:30" x14ac:dyDescent="0.35">
      <c r="A8" t="s">
        <v>305</v>
      </c>
      <c r="B8" s="84">
        <v>217477204.60200253</v>
      </c>
      <c r="C8" s="103">
        <v>67974087.031534597</v>
      </c>
      <c r="D8" s="28">
        <v>1466</v>
      </c>
      <c r="E8" s="28">
        <f t="shared" si="0"/>
        <v>50</v>
      </c>
      <c r="F8" s="89">
        <f t="shared" si="1"/>
        <v>29.32</v>
      </c>
      <c r="G8" s="102">
        <f t="shared" si="2"/>
        <v>1.656497175141243</v>
      </c>
      <c r="H8" s="91">
        <f t="shared" si="3"/>
        <v>2</v>
      </c>
      <c r="I8" s="92">
        <v>1</v>
      </c>
      <c r="J8" s="93">
        <v>1</v>
      </c>
      <c r="K8" s="93">
        <v>3</v>
      </c>
      <c r="L8" s="94">
        <v>1</v>
      </c>
      <c r="M8" s="92">
        <v>1</v>
      </c>
      <c r="N8" s="93">
        <v>1</v>
      </c>
      <c r="O8" s="93">
        <f t="shared" si="4"/>
        <v>2</v>
      </c>
      <c r="P8" s="94">
        <v>1</v>
      </c>
      <c r="Q8" s="92">
        <v>1</v>
      </c>
      <c r="R8" s="93">
        <v>1</v>
      </c>
      <c r="S8" s="93">
        <f t="shared" si="5"/>
        <v>2</v>
      </c>
      <c r="T8" s="94">
        <f t="shared" si="6"/>
        <v>2</v>
      </c>
      <c r="U8" s="92">
        <v>1</v>
      </c>
      <c r="V8" s="93">
        <f t="shared" si="7"/>
        <v>2</v>
      </c>
      <c r="W8" s="94">
        <v>1</v>
      </c>
      <c r="X8" s="90"/>
      <c r="AC8" t="s">
        <v>302</v>
      </c>
      <c r="AD8">
        <v>57</v>
      </c>
    </row>
    <row r="9" spans="1:30" x14ac:dyDescent="0.35">
      <c r="A9" t="s">
        <v>306</v>
      </c>
      <c r="B9" s="84">
        <v>202335659.72199687</v>
      </c>
      <c r="C9" s="103">
        <v>67589797.570691586</v>
      </c>
      <c r="D9" s="28">
        <v>1205</v>
      </c>
      <c r="E9" s="28">
        <f t="shared" si="0"/>
        <v>48</v>
      </c>
      <c r="F9" s="89">
        <f t="shared" si="1"/>
        <v>25.104166666666668</v>
      </c>
      <c r="G9" s="102">
        <f t="shared" si="2"/>
        <v>1.3615819209039548</v>
      </c>
      <c r="H9" s="91">
        <f t="shared" si="3"/>
        <v>2</v>
      </c>
      <c r="I9" s="92">
        <v>1</v>
      </c>
      <c r="J9" s="93">
        <v>1</v>
      </c>
      <c r="K9" s="93">
        <v>3</v>
      </c>
      <c r="L9" s="94">
        <v>1</v>
      </c>
      <c r="M9" s="92">
        <v>1</v>
      </c>
      <c r="N9" s="93">
        <v>1</v>
      </c>
      <c r="O9" s="93">
        <f t="shared" si="4"/>
        <v>2</v>
      </c>
      <c r="P9" s="94">
        <v>1</v>
      </c>
      <c r="Q9" s="92">
        <v>1</v>
      </c>
      <c r="R9" s="93">
        <v>1</v>
      </c>
      <c r="S9" s="93">
        <f t="shared" si="5"/>
        <v>2</v>
      </c>
      <c r="T9" s="94">
        <f t="shared" si="6"/>
        <v>2</v>
      </c>
      <c r="U9" s="92">
        <v>1</v>
      </c>
      <c r="V9" s="93">
        <f t="shared" si="7"/>
        <v>2</v>
      </c>
      <c r="W9" s="94">
        <v>1</v>
      </c>
      <c r="X9" s="90"/>
      <c r="AC9" t="s">
        <v>308</v>
      </c>
      <c r="AD9">
        <v>34</v>
      </c>
    </row>
    <row r="10" spans="1:30" x14ac:dyDescent="0.35">
      <c r="A10" t="s">
        <v>307</v>
      </c>
      <c r="B10" s="84">
        <v>264702245.0664508</v>
      </c>
      <c r="C10" s="103">
        <v>85561942.697279617</v>
      </c>
      <c r="D10" s="28">
        <v>1816</v>
      </c>
      <c r="E10" s="28">
        <f t="shared" si="0"/>
        <v>90</v>
      </c>
      <c r="F10" s="89">
        <f t="shared" si="1"/>
        <v>20.177777777777777</v>
      </c>
      <c r="G10" s="102">
        <f t="shared" si="2"/>
        <v>2.0519774011299434</v>
      </c>
      <c r="H10" s="91">
        <f t="shared" si="3"/>
        <v>3</v>
      </c>
      <c r="I10" s="92">
        <v>1</v>
      </c>
      <c r="J10" s="93">
        <v>1</v>
      </c>
      <c r="K10" s="93">
        <v>3</v>
      </c>
      <c r="L10" s="94">
        <v>1</v>
      </c>
      <c r="M10" s="92">
        <v>1</v>
      </c>
      <c r="N10" s="93">
        <v>1</v>
      </c>
      <c r="O10" s="93">
        <f t="shared" si="4"/>
        <v>3</v>
      </c>
      <c r="P10" s="94">
        <v>1</v>
      </c>
      <c r="Q10" s="92">
        <v>1</v>
      </c>
      <c r="R10" s="93">
        <v>1</v>
      </c>
      <c r="S10" s="93">
        <f t="shared" si="5"/>
        <v>3</v>
      </c>
      <c r="T10" s="94">
        <f t="shared" si="6"/>
        <v>3</v>
      </c>
      <c r="U10" s="92">
        <v>1</v>
      </c>
      <c r="V10" s="93">
        <f t="shared" si="7"/>
        <v>3</v>
      </c>
      <c r="W10" s="94">
        <v>1</v>
      </c>
      <c r="X10" s="90"/>
      <c r="AC10" t="s">
        <v>310</v>
      </c>
      <c r="AD10">
        <v>50</v>
      </c>
    </row>
    <row r="11" spans="1:30" x14ac:dyDescent="0.35">
      <c r="A11" t="s">
        <v>308</v>
      </c>
      <c r="B11" s="84">
        <v>153101571.2231639</v>
      </c>
      <c r="C11" s="84">
        <v>51953409.00983578</v>
      </c>
      <c r="D11" s="28">
        <v>865</v>
      </c>
      <c r="E11" s="28">
        <f t="shared" si="0"/>
        <v>34</v>
      </c>
      <c r="F11" s="89">
        <f t="shared" si="1"/>
        <v>25.441176470588236</v>
      </c>
      <c r="G11" s="102">
        <f t="shared" si="2"/>
        <v>0.97740112994350281</v>
      </c>
      <c r="H11" s="91">
        <f t="shared" si="3"/>
        <v>1</v>
      </c>
      <c r="I11" s="92">
        <v>1</v>
      </c>
      <c r="J11" s="93">
        <v>1</v>
      </c>
      <c r="K11" s="93">
        <v>3</v>
      </c>
      <c r="L11" s="94">
        <v>1</v>
      </c>
      <c r="M11" s="92">
        <v>1</v>
      </c>
      <c r="N11" s="93">
        <v>1</v>
      </c>
      <c r="O11" s="93">
        <f t="shared" si="4"/>
        <v>1</v>
      </c>
      <c r="P11" s="94">
        <v>1</v>
      </c>
      <c r="Q11" s="92">
        <v>1</v>
      </c>
      <c r="R11" s="93"/>
      <c r="S11" s="93">
        <f t="shared" si="5"/>
        <v>1</v>
      </c>
      <c r="T11" s="94">
        <f t="shared" si="6"/>
        <v>1</v>
      </c>
      <c r="U11" s="92">
        <v>1</v>
      </c>
      <c r="V11" s="93">
        <f t="shared" si="7"/>
        <v>1</v>
      </c>
      <c r="W11" s="94">
        <v>1</v>
      </c>
      <c r="X11" s="90"/>
      <c r="AC11" t="s">
        <v>314</v>
      </c>
      <c r="AD11">
        <v>47</v>
      </c>
    </row>
    <row r="12" spans="1:30" x14ac:dyDescent="0.35">
      <c r="A12" t="s">
        <v>309</v>
      </c>
      <c r="B12" s="84">
        <v>161910481.57482275</v>
      </c>
      <c r="C12" s="84">
        <v>54673701.803415388</v>
      </c>
      <c r="D12" s="28">
        <v>1105</v>
      </c>
      <c r="E12" s="28">
        <f t="shared" si="0"/>
        <v>39</v>
      </c>
      <c r="F12" s="89">
        <f t="shared" si="1"/>
        <v>28.333333333333332</v>
      </c>
      <c r="G12" s="102">
        <f t="shared" si="2"/>
        <v>1.2485875706214689</v>
      </c>
      <c r="H12" s="91">
        <f t="shared" si="3"/>
        <v>2</v>
      </c>
      <c r="I12" s="92">
        <v>1</v>
      </c>
      <c r="J12" s="93">
        <v>1</v>
      </c>
      <c r="K12" s="93">
        <v>3</v>
      </c>
      <c r="L12" s="94">
        <v>1</v>
      </c>
      <c r="M12" s="92">
        <v>1</v>
      </c>
      <c r="N12" s="93">
        <v>1</v>
      </c>
      <c r="O12" s="93">
        <f t="shared" si="4"/>
        <v>2</v>
      </c>
      <c r="P12" s="94">
        <v>1</v>
      </c>
      <c r="Q12" s="92">
        <v>1</v>
      </c>
      <c r="R12" s="93">
        <v>1</v>
      </c>
      <c r="S12" s="93">
        <f t="shared" si="5"/>
        <v>2</v>
      </c>
      <c r="T12" s="94">
        <f t="shared" si="6"/>
        <v>2</v>
      </c>
      <c r="U12" s="92">
        <v>1</v>
      </c>
      <c r="V12" s="93">
        <f t="shared" si="7"/>
        <v>2</v>
      </c>
      <c r="W12" s="94">
        <v>1</v>
      </c>
      <c r="X12" s="90"/>
      <c r="AC12" t="s">
        <v>311</v>
      </c>
      <c r="AD12">
        <v>60</v>
      </c>
    </row>
    <row r="13" spans="1:30" x14ac:dyDescent="0.35">
      <c r="A13" t="s">
        <v>310</v>
      </c>
      <c r="B13" s="84">
        <v>240403772.95768282</v>
      </c>
      <c r="C13" s="103">
        <v>74740215.742717251</v>
      </c>
      <c r="D13" s="28">
        <v>1659</v>
      </c>
      <c r="E13" s="28">
        <f t="shared" si="0"/>
        <v>50</v>
      </c>
      <c r="F13" s="89">
        <f t="shared" si="1"/>
        <v>33.18</v>
      </c>
      <c r="G13" s="102">
        <f t="shared" si="2"/>
        <v>1.8745762711864407</v>
      </c>
      <c r="H13" s="91">
        <f t="shared" si="3"/>
        <v>3</v>
      </c>
      <c r="I13" s="92">
        <v>1</v>
      </c>
      <c r="J13" s="93">
        <v>1</v>
      </c>
      <c r="K13" s="93">
        <v>3</v>
      </c>
      <c r="L13" s="94">
        <v>1</v>
      </c>
      <c r="M13" s="92">
        <v>1</v>
      </c>
      <c r="N13" s="93">
        <v>1</v>
      </c>
      <c r="O13" s="93">
        <f t="shared" si="4"/>
        <v>3</v>
      </c>
      <c r="P13" s="94">
        <v>1</v>
      </c>
      <c r="Q13" s="92">
        <v>1</v>
      </c>
      <c r="R13" s="93">
        <v>1</v>
      </c>
      <c r="S13" s="93">
        <f t="shared" si="5"/>
        <v>3</v>
      </c>
      <c r="T13" s="94">
        <f t="shared" si="6"/>
        <v>3</v>
      </c>
      <c r="U13" s="92">
        <v>1</v>
      </c>
      <c r="V13" s="93">
        <f t="shared" si="7"/>
        <v>3</v>
      </c>
      <c r="W13" s="94">
        <v>1</v>
      </c>
      <c r="X13" s="90"/>
      <c r="AC13" t="s">
        <v>305</v>
      </c>
      <c r="AD13">
        <v>50</v>
      </c>
    </row>
    <row r="14" spans="1:30" x14ac:dyDescent="0.35">
      <c r="A14" t="s">
        <v>311</v>
      </c>
      <c r="B14" s="84">
        <v>140613978.04664969</v>
      </c>
      <c r="C14" s="84">
        <v>47619810.121064961</v>
      </c>
      <c r="D14" s="28">
        <v>925</v>
      </c>
      <c r="E14" s="28">
        <f t="shared" si="0"/>
        <v>60</v>
      </c>
      <c r="F14" s="89">
        <f t="shared" si="1"/>
        <v>15.416666666666666</v>
      </c>
      <c r="G14" s="102">
        <f t="shared" si="2"/>
        <v>1.0451977401129944</v>
      </c>
      <c r="H14" s="91">
        <f t="shared" si="3"/>
        <v>1</v>
      </c>
      <c r="I14" s="92">
        <v>1</v>
      </c>
      <c r="J14" s="93">
        <v>1</v>
      </c>
      <c r="K14" s="93">
        <v>3</v>
      </c>
      <c r="L14" s="94">
        <v>1</v>
      </c>
      <c r="M14" s="92">
        <v>1</v>
      </c>
      <c r="N14" s="93">
        <v>1</v>
      </c>
      <c r="O14" s="93">
        <f t="shared" si="4"/>
        <v>1</v>
      </c>
      <c r="P14" s="94">
        <v>1</v>
      </c>
      <c r="Q14" s="92">
        <v>1</v>
      </c>
      <c r="R14" s="93"/>
      <c r="S14" s="93">
        <f t="shared" si="5"/>
        <v>1</v>
      </c>
      <c r="T14" s="94">
        <f t="shared" si="6"/>
        <v>1</v>
      </c>
      <c r="U14" s="92">
        <v>1</v>
      </c>
      <c r="V14" s="93">
        <f t="shared" si="7"/>
        <v>1</v>
      </c>
      <c r="W14" s="94">
        <v>1</v>
      </c>
      <c r="X14" s="90"/>
      <c r="AC14" t="s">
        <v>309</v>
      </c>
      <c r="AD14">
        <v>39</v>
      </c>
    </row>
    <row r="15" spans="1:30" x14ac:dyDescent="0.35">
      <c r="A15" t="s">
        <v>312</v>
      </c>
      <c r="B15" s="84">
        <v>171290496.35434043</v>
      </c>
      <c r="C15" s="84">
        <v>51594784.026399791</v>
      </c>
      <c r="D15" s="28">
        <v>940</v>
      </c>
      <c r="E15" s="28">
        <f t="shared" si="0"/>
        <v>45</v>
      </c>
      <c r="F15" s="89">
        <f t="shared" si="1"/>
        <v>20.888888888888889</v>
      </c>
      <c r="G15" s="102">
        <f t="shared" si="2"/>
        <v>1.0621468926553672</v>
      </c>
      <c r="H15" s="91">
        <f t="shared" si="3"/>
        <v>2</v>
      </c>
      <c r="I15" s="92">
        <v>1</v>
      </c>
      <c r="J15" s="93">
        <v>1</v>
      </c>
      <c r="K15" s="93">
        <v>3</v>
      </c>
      <c r="L15" s="94">
        <v>1</v>
      </c>
      <c r="M15" s="92">
        <v>1</v>
      </c>
      <c r="N15" s="93">
        <v>1</v>
      </c>
      <c r="O15" s="93">
        <f t="shared" si="4"/>
        <v>2</v>
      </c>
      <c r="P15" s="94">
        <v>1</v>
      </c>
      <c r="Q15" s="92">
        <v>1</v>
      </c>
      <c r="R15" s="93">
        <v>1</v>
      </c>
      <c r="S15" s="93">
        <f t="shared" si="5"/>
        <v>2</v>
      </c>
      <c r="T15" s="94">
        <f t="shared" si="6"/>
        <v>2</v>
      </c>
      <c r="U15" s="92">
        <v>1</v>
      </c>
      <c r="V15" s="93">
        <f t="shared" si="7"/>
        <v>2</v>
      </c>
      <c r="W15" s="94">
        <v>1</v>
      </c>
      <c r="X15" s="90"/>
      <c r="AC15" t="s">
        <v>301</v>
      </c>
      <c r="AD15">
        <v>96</v>
      </c>
    </row>
    <row r="16" spans="1:30" x14ac:dyDescent="0.35">
      <c r="A16" t="s">
        <v>313</v>
      </c>
      <c r="B16" s="84">
        <v>158999215.31136081</v>
      </c>
      <c r="C16" s="84">
        <v>49224108.325340509</v>
      </c>
      <c r="D16" s="28">
        <v>914</v>
      </c>
      <c r="E16" s="28">
        <f t="shared" si="0"/>
        <v>49</v>
      </c>
      <c r="F16" s="89">
        <f t="shared" si="1"/>
        <v>18.653061224489797</v>
      </c>
      <c r="G16" s="102">
        <f t="shared" si="2"/>
        <v>1.032768361581921</v>
      </c>
      <c r="H16" s="91">
        <f t="shared" si="3"/>
        <v>1</v>
      </c>
      <c r="I16" s="92">
        <v>1</v>
      </c>
      <c r="J16" s="93">
        <v>1</v>
      </c>
      <c r="K16" s="93">
        <v>3</v>
      </c>
      <c r="L16" s="94">
        <v>1</v>
      </c>
      <c r="M16" s="92">
        <v>1</v>
      </c>
      <c r="N16" s="93">
        <v>1</v>
      </c>
      <c r="O16" s="93">
        <f t="shared" si="4"/>
        <v>1</v>
      </c>
      <c r="P16" s="94">
        <v>1</v>
      </c>
      <c r="Q16" s="92">
        <v>1</v>
      </c>
      <c r="R16" s="93"/>
      <c r="S16" s="93">
        <f t="shared" si="5"/>
        <v>1</v>
      </c>
      <c r="T16" s="94">
        <f t="shared" si="6"/>
        <v>1</v>
      </c>
      <c r="U16" s="92">
        <v>1</v>
      </c>
      <c r="V16" s="93">
        <f t="shared" si="7"/>
        <v>1</v>
      </c>
      <c r="W16" s="94">
        <v>1</v>
      </c>
      <c r="X16" s="90"/>
      <c r="AC16" t="s">
        <v>307</v>
      </c>
      <c r="AD16">
        <v>90</v>
      </c>
    </row>
    <row r="17" spans="1:30" x14ac:dyDescent="0.35">
      <c r="A17" t="s">
        <v>314</v>
      </c>
      <c r="B17" s="84">
        <v>250244245.80825314</v>
      </c>
      <c r="C17" s="103">
        <v>80424372.754627451</v>
      </c>
      <c r="D17" s="28">
        <v>1709</v>
      </c>
      <c r="E17" s="28">
        <f t="shared" si="0"/>
        <v>47</v>
      </c>
      <c r="F17" s="89">
        <f t="shared" si="1"/>
        <v>36.361702127659576</v>
      </c>
      <c r="G17" s="102">
        <f t="shared" si="2"/>
        <v>1.9310734463276835</v>
      </c>
      <c r="H17" s="91">
        <f t="shared" si="3"/>
        <v>3</v>
      </c>
      <c r="I17" s="92">
        <v>1</v>
      </c>
      <c r="J17" s="93">
        <v>1</v>
      </c>
      <c r="K17" s="93">
        <v>3</v>
      </c>
      <c r="L17" s="94">
        <v>1</v>
      </c>
      <c r="M17" s="92">
        <v>1</v>
      </c>
      <c r="N17" s="93">
        <v>1</v>
      </c>
      <c r="O17" s="93">
        <f t="shared" si="4"/>
        <v>3</v>
      </c>
      <c r="P17" s="94">
        <v>1</v>
      </c>
      <c r="Q17" s="92">
        <v>1</v>
      </c>
      <c r="R17" s="93">
        <v>1</v>
      </c>
      <c r="S17" s="93">
        <f t="shared" si="5"/>
        <v>3</v>
      </c>
      <c r="T17" s="94">
        <f t="shared" si="6"/>
        <v>3</v>
      </c>
      <c r="U17" s="92">
        <v>1</v>
      </c>
      <c r="V17" s="93">
        <f t="shared" si="7"/>
        <v>3</v>
      </c>
      <c r="W17" s="94">
        <v>1</v>
      </c>
      <c r="X17" s="90"/>
      <c r="AC17" t="s">
        <v>304</v>
      </c>
      <c r="AD17">
        <v>31</v>
      </c>
    </row>
    <row r="18" spans="1:30" x14ac:dyDescent="0.35">
      <c r="A18" t="s">
        <v>315</v>
      </c>
      <c r="B18" s="84">
        <v>153840751.73868093</v>
      </c>
      <c r="C18" s="84">
        <v>47465109.986805581</v>
      </c>
      <c r="D18" s="28">
        <v>892</v>
      </c>
      <c r="E18" s="28">
        <f t="shared" si="0"/>
        <v>68</v>
      </c>
      <c r="F18" s="89">
        <f t="shared" si="1"/>
        <v>13.117647058823529</v>
      </c>
      <c r="G18" s="102">
        <f t="shared" si="2"/>
        <v>1.007909604519774</v>
      </c>
      <c r="H18" s="91">
        <f t="shared" si="3"/>
        <v>1</v>
      </c>
      <c r="I18" s="92">
        <v>1</v>
      </c>
      <c r="J18" s="93">
        <v>1</v>
      </c>
      <c r="K18" s="93">
        <v>3</v>
      </c>
      <c r="L18" s="94">
        <v>1</v>
      </c>
      <c r="M18" s="92">
        <v>1</v>
      </c>
      <c r="N18" s="93">
        <v>1</v>
      </c>
      <c r="O18" s="93">
        <f t="shared" si="4"/>
        <v>1</v>
      </c>
      <c r="P18" s="94">
        <v>1</v>
      </c>
      <c r="Q18" s="92">
        <v>1</v>
      </c>
      <c r="R18" s="93"/>
      <c r="S18" s="93">
        <f t="shared" si="5"/>
        <v>1</v>
      </c>
      <c r="T18" s="94">
        <f t="shared" si="6"/>
        <v>1</v>
      </c>
      <c r="U18" s="92">
        <v>1</v>
      </c>
      <c r="V18" s="93">
        <f t="shared" si="7"/>
        <v>1</v>
      </c>
      <c r="W18" s="94">
        <v>1</v>
      </c>
      <c r="X18" s="90"/>
      <c r="AC18" t="s">
        <v>315</v>
      </c>
      <c r="AD18">
        <v>68</v>
      </c>
    </row>
    <row r="19" spans="1:30" x14ac:dyDescent="0.35">
      <c r="A19" t="s">
        <v>316</v>
      </c>
      <c r="B19" s="84">
        <v>150541041.58588645</v>
      </c>
      <c r="C19" s="84">
        <v>46825380.546768576</v>
      </c>
      <c r="D19" s="28">
        <v>812</v>
      </c>
      <c r="E19" s="28">
        <f t="shared" si="0"/>
        <v>51</v>
      </c>
      <c r="F19" s="89">
        <f t="shared" si="1"/>
        <v>15.921568627450981</v>
      </c>
      <c r="G19" s="102">
        <f t="shared" si="2"/>
        <v>0.91751412429378532</v>
      </c>
      <c r="H19" s="91">
        <f t="shared" si="3"/>
        <v>1</v>
      </c>
      <c r="I19" s="92">
        <v>1</v>
      </c>
      <c r="J19" s="93">
        <v>1</v>
      </c>
      <c r="K19" s="93">
        <v>3</v>
      </c>
      <c r="L19" s="94">
        <v>1</v>
      </c>
      <c r="M19" s="92">
        <v>1</v>
      </c>
      <c r="N19" s="93">
        <v>1</v>
      </c>
      <c r="O19" s="93">
        <f t="shared" si="4"/>
        <v>1</v>
      </c>
      <c r="P19" s="94">
        <v>1</v>
      </c>
      <c r="Q19" s="92">
        <v>1</v>
      </c>
      <c r="R19" s="93"/>
      <c r="S19" s="93">
        <f t="shared" si="5"/>
        <v>1</v>
      </c>
      <c r="T19" s="94">
        <f t="shared" si="6"/>
        <v>1</v>
      </c>
      <c r="U19" s="92">
        <v>1</v>
      </c>
      <c r="V19" s="93">
        <f t="shared" si="7"/>
        <v>1</v>
      </c>
      <c r="W19" s="94">
        <v>1</v>
      </c>
      <c r="X19" s="90"/>
      <c r="AC19" t="s">
        <v>318</v>
      </c>
      <c r="AD19">
        <v>58</v>
      </c>
    </row>
    <row r="20" spans="1:30" x14ac:dyDescent="0.35">
      <c r="A20" t="s">
        <v>317</v>
      </c>
      <c r="B20" s="84">
        <v>305355898.69311124</v>
      </c>
      <c r="C20" s="103">
        <v>95095616.662890032</v>
      </c>
      <c r="D20" s="28">
        <v>1959</v>
      </c>
      <c r="E20" s="28">
        <f t="shared" si="0"/>
        <v>69</v>
      </c>
      <c r="F20" s="89">
        <f t="shared" si="1"/>
        <v>28.391304347826086</v>
      </c>
      <c r="G20" s="102">
        <f t="shared" si="2"/>
        <v>2.2135593220338983</v>
      </c>
      <c r="H20" s="91">
        <f t="shared" si="3"/>
        <v>3</v>
      </c>
      <c r="I20" s="92">
        <v>1</v>
      </c>
      <c r="J20" s="93">
        <v>1</v>
      </c>
      <c r="K20" s="93">
        <v>3</v>
      </c>
      <c r="L20" s="94">
        <v>1</v>
      </c>
      <c r="M20" s="92">
        <v>1</v>
      </c>
      <c r="N20" s="93">
        <v>1</v>
      </c>
      <c r="O20" s="93">
        <f t="shared" si="4"/>
        <v>3</v>
      </c>
      <c r="P20" s="94">
        <v>1</v>
      </c>
      <c r="Q20" s="92">
        <v>1</v>
      </c>
      <c r="R20" s="93">
        <v>1</v>
      </c>
      <c r="S20" s="93">
        <f t="shared" si="5"/>
        <v>3</v>
      </c>
      <c r="T20" s="94">
        <f t="shared" si="6"/>
        <v>3</v>
      </c>
      <c r="U20" s="92">
        <v>1</v>
      </c>
      <c r="V20" s="93">
        <f t="shared" si="7"/>
        <v>3</v>
      </c>
      <c r="W20" s="94">
        <v>1</v>
      </c>
      <c r="X20" s="90"/>
      <c r="AC20" t="s">
        <v>303</v>
      </c>
      <c r="AD20">
        <v>29</v>
      </c>
    </row>
    <row r="21" spans="1:30" x14ac:dyDescent="0.35">
      <c r="A21" t="s">
        <v>318</v>
      </c>
      <c r="B21" s="84">
        <v>198662648.52676356</v>
      </c>
      <c r="C21" s="103">
        <v>61775986.450287044</v>
      </c>
      <c r="D21" s="28">
        <v>1280</v>
      </c>
      <c r="E21" s="28">
        <f t="shared" si="0"/>
        <v>58</v>
      </c>
      <c r="F21" s="89">
        <f t="shared" si="1"/>
        <v>22.068965517241381</v>
      </c>
      <c r="G21" s="102">
        <f t="shared" si="2"/>
        <v>1.4463276836158192</v>
      </c>
      <c r="H21" s="91">
        <f t="shared" si="3"/>
        <v>2</v>
      </c>
      <c r="I21" s="92">
        <v>1</v>
      </c>
      <c r="J21" s="93">
        <v>1</v>
      </c>
      <c r="K21" s="93">
        <v>3</v>
      </c>
      <c r="L21" s="94">
        <v>1</v>
      </c>
      <c r="M21" s="92">
        <v>1</v>
      </c>
      <c r="N21" s="93">
        <v>1</v>
      </c>
      <c r="O21" s="93">
        <f t="shared" si="4"/>
        <v>2</v>
      </c>
      <c r="P21" s="94">
        <v>1</v>
      </c>
      <c r="Q21" s="92">
        <v>1</v>
      </c>
      <c r="R21" s="93">
        <v>1</v>
      </c>
      <c r="S21" s="93">
        <f t="shared" si="5"/>
        <v>2</v>
      </c>
      <c r="T21" s="94">
        <f t="shared" si="6"/>
        <v>2</v>
      </c>
      <c r="U21" s="92">
        <v>1</v>
      </c>
      <c r="V21" s="93">
        <f t="shared" si="7"/>
        <v>2</v>
      </c>
      <c r="W21" s="94">
        <v>1</v>
      </c>
      <c r="X21" s="90"/>
      <c r="AC21" t="s">
        <v>316</v>
      </c>
      <c r="AD21">
        <v>51</v>
      </c>
    </row>
    <row r="22" spans="1:30" x14ac:dyDescent="0.35">
      <c r="A22" t="s">
        <v>319</v>
      </c>
      <c r="B22" s="84">
        <v>152035583.87576184</v>
      </c>
      <c r="C22" s="84">
        <v>47590445.567880049</v>
      </c>
      <c r="D22" s="28">
        <v>861</v>
      </c>
      <c r="E22" s="28">
        <f t="shared" si="0"/>
        <v>55</v>
      </c>
      <c r="F22" s="89">
        <f t="shared" si="1"/>
        <v>15.654545454545454</v>
      </c>
      <c r="G22" s="102">
        <f t="shared" si="2"/>
        <v>0.97288135593220337</v>
      </c>
      <c r="H22" s="91">
        <f t="shared" si="3"/>
        <v>1</v>
      </c>
      <c r="I22" s="92">
        <v>1</v>
      </c>
      <c r="J22" s="93">
        <v>1</v>
      </c>
      <c r="K22" s="93">
        <v>3</v>
      </c>
      <c r="L22" s="94">
        <v>1</v>
      </c>
      <c r="M22" s="92">
        <v>1</v>
      </c>
      <c r="N22" s="93">
        <v>1</v>
      </c>
      <c r="O22" s="93">
        <f t="shared" si="4"/>
        <v>1</v>
      </c>
      <c r="P22" s="94">
        <v>1</v>
      </c>
      <c r="Q22" s="92">
        <v>1</v>
      </c>
      <c r="R22" s="93"/>
      <c r="S22" s="93">
        <f t="shared" si="5"/>
        <v>1</v>
      </c>
      <c r="T22" s="94">
        <f t="shared" si="6"/>
        <v>1</v>
      </c>
      <c r="U22" s="92">
        <v>1</v>
      </c>
      <c r="V22" s="93">
        <f t="shared" si="7"/>
        <v>1</v>
      </c>
      <c r="W22" s="94">
        <v>1</v>
      </c>
      <c r="X22" s="90"/>
      <c r="AC22" t="s">
        <v>306</v>
      </c>
      <c r="AD22">
        <v>48</v>
      </c>
    </row>
    <row r="23" spans="1:30" ht="15" thickBot="1" x14ac:dyDescent="0.4">
      <c r="A23" t="s">
        <v>320</v>
      </c>
      <c r="B23" s="84">
        <v>195992058.56882551</v>
      </c>
      <c r="C23" s="103">
        <v>62504531.993436106</v>
      </c>
      <c r="D23" s="28">
        <v>1095</v>
      </c>
      <c r="E23" s="28">
        <f t="shared" si="0"/>
        <v>42</v>
      </c>
      <c r="F23" s="89">
        <f t="shared" si="1"/>
        <v>26.071428571428573</v>
      </c>
      <c r="G23" s="102">
        <f t="shared" si="2"/>
        <v>1.2372881355932204</v>
      </c>
      <c r="H23" s="91">
        <f t="shared" si="3"/>
        <v>2</v>
      </c>
      <c r="I23" s="95">
        <v>1</v>
      </c>
      <c r="J23" s="96">
        <v>1</v>
      </c>
      <c r="K23" s="96">
        <v>3</v>
      </c>
      <c r="L23" s="97">
        <v>1</v>
      </c>
      <c r="M23" s="95">
        <v>1</v>
      </c>
      <c r="N23" s="96">
        <v>1</v>
      </c>
      <c r="O23" s="96">
        <f t="shared" si="4"/>
        <v>2</v>
      </c>
      <c r="P23" s="97">
        <v>1</v>
      </c>
      <c r="Q23" s="95">
        <v>1</v>
      </c>
      <c r="R23" s="96">
        <v>1</v>
      </c>
      <c r="S23" s="96">
        <f t="shared" si="5"/>
        <v>2</v>
      </c>
      <c r="T23" s="97">
        <f t="shared" si="6"/>
        <v>2</v>
      </c>
      <c r="U23" s="95">
        <v>1</v>
      </c>
      <c r="V23" s="96">
        <f t="shared" si="7"/>
        <v>2</v>
      </c>
      <c r="W23" s="176">
        <v>1</v>
      </c>
      <c r="X23" s="90"/>
      <c r="AC23" t="s">
        <v>317</v>
      </c>
      <c r="AD23">
        <v>69</v>
      </c>
    </row>
    <row r="24" spans="1:30" x14ac:dyDescent="0.35">
      <c r="B24" s="84">
        <v>4004799655.3513417</v>
      </c>
      <c r="C24" s="84">
        <v>1270303281.296701</v>
      </c>
      <c r="D24">
        <v>24607</v>
      </c>
      <c r="F24" s="4">
        <f>AVERAGE(F3:F23)</f>
        <v>23.520275894215803</v>
      </c>
      <c r="H24" s="91">
        <f t="shared" ref="H24:W24" si="8">SUBTOTAL(9,H3:H23)</f>
        <v>39</v>
      </c>
      <c r="I24" s="91">
        <f t="shared" si="8"/>
        <v>21</v>
      </c>
      <c r="J24" s="91">
        <f t="shared" si="8"/>
        <v>21</v>
      </c>
      <c r="K24" s="91">
        <f t="shared" si="8"/>
        <v>63</v>
      </c>
      <c r="L24" s="91">
        <f t="shared" si="8"/>
        <v>21</v>
      </c>
      <c r="M24" s="91">
        <f t="shared" si="8"/>
        <v>21</v>
      </c>
      <c r="N24" s="91">
        <f t="shared" si="8"/>
        <v>21</v>
      </c>
      <c r="O24" s="91">
        <f t="shared" si="8"/>
        <v>39</v>
      </c>
      <c r="P24" s="91">
        <f t="shared" si="8"/>
        <v>21</v>
      </c>
      <c r="Q24" s="91">
        <f t="shared" si="8"/>
        <v>21</v>
      </c>
      <c r="R24" s="91">
        <f t="shared" si="8"/>
        <v>13</v>
      </c>
      <c r="S24" s="91">
        <f t="shared" si="8"/>
        <v>39</v>
      </c>
      <c r="T24" s="91">
        <f t="shared" si="8"/>
        <v>39</v>
      </c>
      <c r="U24" s="91">
        <f t="shared" si="8"/>
        <v>21</v>
      </c>
      <c r="V24" s="91">
        <f t="shared" si="8"/>
        <v>39</v>
      </c>
      <c r="W24" s="91">
        <f t="shared" si="8"/>
        <v>21</v>
      </c>
      <c r="X24" s="87"/>
      <c r="AD24">
        <v>1112</v>
      </c>
    </row>
    <row r="25" spans="1:30" x14ac:dyDescent="0.35">
      <c r="I25" s="101"/>
      <c r="J25" s="101"/>
      <c r="K25" s="101"/>
      <c r="L25" s="101">
        <f>SUM(I24:L24)</f>
        <v>126</v>
      </c>
      <c r="M25" s="101"/>
      <c r="N25" s="101"/>
      <c r="O25" s="101"/>
      <c r="P25" s="101">
        <f>SUM(M24:P24)</f>
        <v>102</v>
      </c>
      <c r="Q25" s="101"/>
      <c r="R25" s="101"/>
      <c r="S25" s="101"/>
      <c r="T25" s="101">
        <f>SUM(Q24:T24)</f>
        <v>112</v>
      </c>
      <c r="U25" s="101"/>
      <c r="V25" s="101"/>
      <c r="W25" s="101">
        <f>SUM(U24:W24)</f>
        <v>81</v>
      </c>
    </row>
    <row r="26" spans="1:30" x14ac:dyDescent="0.35">
      <c r="M26" t="s">
        <v>335</v>
      </c>
      <c r="Q26" t="s">
        <v>336</v>
      </c>
      <c r="S26">
        <f>39*6</f>
        <v>234</v>
      </c>
    </row>
    <row r="27" spans="1:30" x14ac:dyDescent="0.35">
      <c r="M27" t="s">
        <v>332</v>
      </c>
    </row>
    <row r="28" spans="1:30" x14ac:dyDescent="0.35">
      <c r="M28" t="s">
        <v>331</v>
      </c>
    </row>
    <row r="29" spans="1:30" x14ac:dyDescent="0.35">
      <c r="M29" t="s">
        <v>333</v>
      </c>
    </row>
    <row r="30" spans="1:30" x14ac:dyDescent="0.35">
      <c r="M30" t="s">
        <v>334</v>
      </c>
    </row>
  </sheetData>
  <autoFilter ref="A2:AE2" xr:uid="{BF4CBD2B-AB04-442A-AF5A-DA1DFE42D660}"/>
  <mergeCells count="4">
    <mergeCell ref="I1:L1"/>
    <mergeCell ref="M1:P1"/>
    <mergeCell ref="Q1:T1"/>
    <mergeCell ref="U1:W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6</vt:i4>
      </vt:variant>
      <vt:variant>
        <vt:lpstr>Adlandırılmış Aralıklar</vt:lpstr>
      </vt:variant>
      <vt:variant>
        <vt:i4>1</vt:i4>
      </vt:variant>
    </vt:vector>
  </HeadingPairs>
  <TitlesOfParts>
    <vt:vector size="7" baseType="lpstr">
      <vt:lpstr>İş akış 2026</vt:lpstr>
      <vt:lpstr>EĞİTİMLER</vt:lpstr>
      <vt:lpstr>cezalar2025</vt:lpstr>
      <vt:lpstr>Özet(YEDAŞ2025)</vt:lpstr>
      <vt:lpstr>Formül</vt:lpstr>
      <vt:lpstr>PROJE SAYILARI</vt:lpstr>
      <vt:lpstr>EĞİTİMLER!_Hlk195479915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2018-06-29T13:47:12Z</dcterms:created>
  <dcterms:modified xsi:type="dcterms:W3CDTF">2026-02-10T07:32:31Z</dcterms:modified>
</cp:coreProperties>
</file>